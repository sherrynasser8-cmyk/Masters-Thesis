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sherrynasser/Downloads/"/>
    </mc:Choice>
  </mc:AlternateContent>
  <xr:revisionPtr revIDLastSave="0" documentId="13_ncr:1_{69E255D0-7354-CF46-8FAE-34096E5EE81F}" xr6:coauthVersionLast="47" xr6:coauthVersionMax="47" xr10:uidLastSave="{00000000-0000-0000-0000-000000000000}"/>
  <bookViews>
    <workbookView xWindow="0" yWindow="660" windowWidth="29400" windowHeight="16940" xr2:uid="{00000000-000D-0000-FFFF-FFFF00000000}"/>
  </bookViews>
  <sheets>
    <sheet name="Instructions" sheetId="1" r:id="rId1"/>
    <sheet name="Criteria Weights" sheetId="2" r:id="rId2"/>
    <sheet name="Privacy" sheetId="3" r:id="rId3"/>
    <sheet name="Luxury" sheetId="4" r:id="rId4"/>
    <sheet name="Apparel" sheetId="5" r:id="rId5"/>
    <sheet name="Final Scor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3" i="5" l="1"/>
  <c r="G122" i="5"/>
  <c r="F123" i="5" s="1"/>
  <c r="F122" i="5"/>
  <c r="C122" i="5"/>
  <c r="G121" i="5"/>
  <c r="E123" i="5" s="1"/>
  <c r="F121" i="5"/>
  <c r="E122" i="5" s="1"/>
  <c r="E121" i="5"/>
  <c r="B121" i="5"/>
  <c r="G120" i="5"/>
  <c r="D123" i="5" s="1"/>
  <c r="F120" i="5"/>
  <c r="D122" i="5" s="1"/>
  <c r="E120" i="5"/>
  <c r="D121" i="5" s="1"/>
  <c r="D120" i="5"/>
  <c r="G119" i="5"/>
  <c r="C123" i="5" s="1"/>
  <c r="F119" i="5"/>
  <c r="E119" i="5"/>
  <c r="C121" i="5" s="1"/>
  <c r="D119" i="5"/>
  <c r="C120" i="5" s="1"/>
  <c r="C119" i="5"/>
  <c r="G118" i="5"/>
  <c r="G125" i="5" s="1"/>
  <c r="F118" i="5"/>
  <c r="F125" i="5" s="1"/>
  <c r="E118" i="5"/>
  <c r="E125" i="5" s="1"/>
  <c r="D118" i="5"/>
  <c r="C118" i="5"/>
  <c r="B118" i="5"/>
  <c r="G76" i="5"/>
  <c r="F76" i="5"/>
  <c r="G75" i="5"/>
  <c r="F75" i="5"/>
  <c r="E75" i="5"/>
  <c r="G74" i="5"/>
  <c r="E76" i="5" s="1"/>
  <c r="F74" i="5"/>
  <c r="E74" i="5"/>
  <c r="D74" i="5"/>
  <c r="G73" i="5"/>
  <c r="D76" i="5" s="1"/>
  <c r="F73" i="5"/>
  <c r="D75" i="5" s="1"/>
  <c r="E73" i="5"/>
  <c r="D73" i="5"/>
  <c r="G72" i="5"/>
  <c r="C76" i="5" s="1"/>
  <c r="F72" i="5"/>
  <c r="C75" i="5" s="1"/>
  <c r="E72" i="5"/>
  <c r="C74" i="5" s="1"/>
  <c r="D72" i="5"/>
  <c r="C73" i="5" s="1"/>
  <c r="C72" i="5"/>
  <c r="G71" i="5"/>
  <c r="G78" i="5" s="1"/>
  <c r="F71" i="5"/>
  <c r="F78" i="5" s="1"/>
  <c r="E71" i="5"/>
  <c r="D71" i="5"/>
  <c r="B73" i="5" s="1"/>
  <c r="C71" i="5"/>
  <c r="B72" i="5" s="1"/>
  <c r="B71" i="5"/>
  <c r="G29" i="5"/>
  <c r="G28" i="5"/>
  <c r="F29" i="5" s="1"/>
  <c r="F28" i="5"/>
  <c r="E28" i="5"/>
  <c r="G27" i="5"/>
  <c r="E29" i="5" s="1"/>
  <c r="F27" i="5"/>
  <c r="E27" i="5"/>
  <c r="G26" i="5"/>
  <c r="D29" i="5" s="1"/>
  <c r="F26" i="5"/>
  <c r="D28" i="5" s="1"/>
  <c r="E26" i="5"/>
  <c r="D27" i="5" s="1"/>
  <c r="D26" i="5"/>
  <c r="C26" i="5"/>
  <c r="G25" i="5"/>
  <c r="C29" i="5" s="1"/>
  <c r="F25" i="5"/>
  <c r="C28" i="5" s="1"/>
  <c r="E25" i="5"/>
  <c r="E31" i="5" s="1"/>
  <c r="D25" i="5"/>
  <c r="C25" i="5"/>
  <c r="B25" i="5"/>
  <c r="G24" i="5"/>
  <c r="G31" i="5" s="1"/>
  <c r="F24" i="5"/>
  <c r="B28" i="5" s="1"/>
  <c r="E24" i="5"/>
  <c r="B27" i="5" s="1"/>
  <c r="D24" i="5"/>
  <c r="B26" i="5" s="1"/>
  <c r="C24" i="5"/>
  <c r="B24" i="5"/>
  <c r="G123" i="4"/>
  <c r="G122" i="4"/>
  <c r="F123" i="4" s="1"/>
  <c r="F122" i="4"/>
  <c r="E122" i="4"/>
  <c r="C122" i="4"/>
  <c r="G121" i="4"/>
  <c r="E123" i="4" s="1"/>
  <c r="F121" i="4"/>
  <c r="E121" i="4"/>
  <c r="B121" i="4"/>
  <c r="G120" i="4"/>
  <c r="D123" i="4" s="1"/>
  <c r="F120" i="4"/>
  <c r="D122" i="4" s="1"/>
  <c r="E120" i="4"/>
  <c r="D121" i="4" s="1"/>
  <c r="D120" i="4"/>
  <c r="G119" i="4"/>
  <c r="G125" i="4" s="1"/>
  <c r="F119" i="4"/>
  <c r="E119" i="4"/>
  <c r="D119" i="4"/>
  <c r="C120" i="4" s="1"/>
  <c r="C119" i="4"/>
  <c r="G118" i="4"/>
  <c r="B123" i="4" s="1"/>
  <c r="F118" i="4"/>
  <c r="B122" i="4" s="1"/>
  <c r="E118" i="4"/>
  <c r="D118" i="4"/>
  <c r="B120" i="4" s="1"/>
  <c r="C118" i="4"/>
  <c r="B119" i="4" s="1"/>
  <c r="B118" i="4"/>
  <c r="B125" i="4" s="1"/>
  <c r="G76" i="4"/>
  <c r="B76" i="4"/>
  <c r="G75" i="4"/>
  <c r="F76" i="4" s="1"/>
  <c r="F75" i="4"/>
  <c r="E75" i="4"/>
  <c r="G74" i="4"/>
  <c r="E76" i="4" s="1"/>
  <c r="F74" i="4"/>
  <c r="E74" i="4"/>
  <c r="D74" i="4"/>
  <c r="G73" i="4"/>
  <c r="D76" i="4" s="1"/>
  <c r="F73" i="4"/>
  <c r="D75" i="4" s="1"/>
  <c r="E73" i="4"/>
  <c r="D73" i="4"/>
  <c r="C73" i="4"/>
  <c r="G72" i="4"/>
  <c r="G78" i="4" s="1"/>
  <c r="F72" i="4"/>
  <c r="C75" i="4" s="1"/>
  <c r="E72" i="4"/>
  <c r="E78" i="4" s="1"/>
  <c r="D72" i="4"/>
  <c r="C72" i="4"/>
  <c r="G71" i="4"/>
  <c r="F71" i="4"/>
  <c r="B75" i="4" s="1"/>
  <c r="E71" i="4"/>
  <c r="B74" i="4" s="1"/>
  <c r="D71" i="4"/>
  <c r="D78" i="4" s="1"/>
  <c r="C71" i="4"/>
  <c r="B72" i="4" s="1"/>
  <c r="B71" i="4"/>
  <c r="G29" i="4"/>
  <c r="D29" i="4"/>
  <c r="G28" i="4"/>
  <c r="F29" i="4" s="1"/>
  <c r="F28" i="4"/>
  <c r="C28" i="4"/>
  <c r="G27" i="4"/>
  <c r="E29" i="4" s="1"/>
  <c r="F27" i="4"/>
  <c r="E28" i="4" s="1"/>
  <c r="E27" i="4"/>
  <c r="G26" i="4"/>
  <c r="F26" i="4"/>
  <c r="D28" i="4" s="1"/>
  <c r="E26" i="4"/>
  <c r="D27" i="4" s="1"/>
  <c r="D26" i="4"/>
  <c r="C26" i="4"/>
  <c r="G25" i="4"/>
  <c r="C29" i="4" s="1"/>
  <c r="F25" i="4"/>
  <c r="E25" i="4"/>
  <c r="C27" i="4" s="1"/>
  <c r="D25" i="4"/>
  <c r="C25" i="4"/>
  <c r="G24" i="4"/>
  <c r="B29" i="4" s="1"/>
  <c r="F24" i="4"/>
  <c r="F31" i="4" s="1"/>
  <c r="E24" i="4"/>
  <c r="D24" i="4"/>
  <c r="C24" i="4"/>
  <c r="B24" i="4"/>
  <c r="G123" i="3"/>
  <c r="F123" i="3"/>
  <c r="G122" i="3"/>
  <c r="F122" i="3"/>
  <c r="E122" i="3"/>
  <c r="C122" i="3"/>
  <c r="G121" i="3"/>
  <c r="E123" i="3" s="1"/>
  <c r="F121" i="3"/>
  <c r="E121" i="3"/>
  <c r="G120" i="3"/>
  <c r="D123" i="3" s="1"/>
  <c r="F120" i="3"/>
  <c r="D122" i="3" s="1"/>
  <c r="E120" i="3"/>
  <c r="D121" i="3" s="1"/>
  <c r="D120" i="3"/>
  <c r="C120" i="3"/>
  <c r="G119" i="3"/>
  <c r="C123" i="3" s="1"/>
  <c r="F119" i="3"/>
  <c r="E119" i="3"/>
  <c r="C121" i="3" s="1"/>
  <c r="D119" i="3"/>
  <c r="C119" i="3"/>
  <c r="G118" i="3"/>
  <c r="G125" i="3" s="1"/>
  <c r="F118" i="3"/>
  <c r="B122" i="3" s="1"/>
  <c r="E118" i="3"/>
  <c r="E125" i="3" s="1"/>
  <c r="D118" i="3"/>
  <c r="B120" i="3" s="1"/>
  <c r="C118" i="3"/>
  <c r="B119" i="3" s="1"/>
  <c r="B118" i="3"/>
  <c r="G76" i="3"/>
  <c r="G75" i="3"/>
  <c r="F76" i="3" s="1"/>
  <c r="F75" i="3"/>
  <c r="E75" i="3"/>
  <c r="C75" i="3"/>
  <c r="G74" i="3"/>
  <c r="E76" i="3" s="1"/>
  <c r="F74" i="3"/>
  <c r="E74" i="3"/>
  <c r="B74" i="3"/>
  <c r="G73" i="3"/>
  <c r="D76" i="3" s="1"/>
  <c r="F73" i="3"/>
  <c r="D75" i="3" s="1"/>
  <c r="E73" i="3"/>
  <c r="D74" i="3" s="1"/>
  <c r="D73" i="3"/>
  <c r="G72" i="3"/>
  <c r="C76" i="3" s="1"/>
  <c r="F72" i="3"/>
  <c r="F78" i="3" s="1"/>
  <c r="E72" i="3"/>
  <c r="E78" i="3" s="1"/>
  <c r="D72" i="3"/>
  <c r="C73" i="3" s="1"/>
  <c r="C72" i="3"/>
  <c r="B72" i="3"/>
  <c r="G71" i="3"/>
  <c r="G78" i="3" s="1"/>
  <c r="F71" i="3"/>
  <c r="B75" i="3" s="1"/>
  <c r="E71" i="3"/>
  <c r="D71" i="3"/>
  <c r="B73" i="3" s="1"/>
  <c r="C71" i="3"/>
  <c r="B71" i="3"/>
  <c r="G29" i="3"/>
  <c r="G28" i="3"/>
  <c r="F29" i="3" s="1"/>
  <c r="F28" i="3"/>
  <c r="E28" i="3"/>
  <c r="B28" i="3"/>
  <c r="G27" i="3"/>
  <c r="E29" i="3" s="1"/>
  <c r="F27" i="3"/>
  <c r="E27" i="3"/>
  <c r="D27" i="3"/>
  <c r="B27" i="3"/>
  <c r="G26" i="3"/>
  <c r="D29" i="3" s="1"/>
  <c r="F26" i="3"/>
  <c r="D28" i="3" s="1"/>
  <c r="E26" i="3"/>
  <c r="D26" i="3"/>
  <c r="G25" i="3"/>
  <c r="G31" i="3" s="1"/>
  <c r="F25" i="3"/>
  <c r="C28" i="3" s="1"/>
  <c r="E25" i="3"/>
  <c r="C27" i="3" s="1"/>
  <c r="D25" i="3"/>
  <c r="C26" i="3" s="1"/>
  <c r="C25" i="3"/>
  <c r="G24" i="3"/>
  <c r="B29" i="3" s="1"/>
  <c r="F24" i="3"/>
  <c r="E24" i="3"/>
  <c r="D24" i="3"/>
  <c r="B26" i="3" s="1"/>
  <c r="C24" i="3"/>
  <c r="B25" i="3" s="1"/>
  <c r="B24" i="3"/>
  <c r="B31" i="3" s="1"/>
  <c r="D14" i="2"/>
  <c r="D16" i="2" s="1"/>
  <c r="C14" i="2"/>
  <c r="C16" i="2" s="1"/>
  <c r="B14" i="2"/>
  <c r="D13" i="2"/>
  <c r="C13" i="2"/>
  <c r="D12" i="2"/>
  <c r="C12" i="2"/>
  <c r="B13" i="2" s="1"/>
  <c r="B12" i="2"/>
  <c r="B131" i="3" l="1"/>
  <c r="F9" i="6" s="1"/>
  <c r="F31" i="3"/>
  <c r="B129" i="3"/>
  <c r="F7" i="6" s="1"/>
  <c r="E78" i="5"/>
  <c r="C125" i="3"/>
  <c r="C31" i="4"/>
  <c r="C78" i="3"/>
  <c r="E125" i="4"/>
  <c r="B21" i="2"/>
  <c r="D31" i="4"/>
  <c r="C125" i="5"/>
  <c r="B22" i="2"/>
  <c r="D125" i="3"/>
  <c r="B133" i="3" s="1"/>
  <c r="F11" i="6" s="1"/>
  <c r="E31" i="4"/>
  <c r="C78" i="5"/>
  <c r="D125" i="5"/>
  <c r="B26" i="4"/>
  <c r="F78" i="4"/>
  <c r="D125" i="4"/>
  <c r="B75" i="5"/>
  <c r="B120" i="5"/>
  <c r="B125" i="5" s="1"/>
  <c r="C74" i="4"/>
  <c r="C78" i="4" s="1"/>
  <c r="C76" i="4"/>
  <c r="C121" i="4"/>
  <c r="B16" i="2"/>
  <c r="D78" i="3"/>
  <c r="B125" i="3"/>
  <c r="B130" i="3" s="1"/>
  <c r="F8" i="6" s="1"/>
  <c r="B28" i="4"/>
  <c r="B73" i="4"/>
  <c r="F125" i="4"/>
  <c r="D31" i="5"/>
  <c r="B122" i="5"/>
  <c r="C123" i="4"/>
  <c r="C27" i="5"/>
  <c r="C31" i="5" s="1"/>
  <c r="B29" i="5"/>
  <c r="B31" i="5" s="1"/>
  <c r="F31" i="5"/>
  <c r="B74" i="5"/>
  <c r="D78" i="5"/>
  <c r="B119" i="5"/>
  <c r="G31" i="4"/>
  <c r="D31" i="3"/>
  <c r="B78" i="3"/>
  <c r="B85" i="3" s="1"/>
  <c r="E10" i="6" s="1"/>
  <c r="E31" i="3"/>
  <c r="C29" i="3"/>
  <c r="B76" i="3"/>
  <c r="B121" i="3"/>
  <c r="B25" i="4"/>
  <c r="B20" i="2"/>
  <c r="B25" i="2" s="1"/>
  <c r="B26" i="2" s="1"/>
  <c r="B28" i="2" s="1"/>
  <c r="B29" i="2" s="1"/>
  <c r="B76" i="5"/>
  <c r="B123" i="3"/>
  <c r="F125" i="3"/>
  <c r="B27" i="4"/>
  <c r="B78" i="4"/>
  <c r="B87" i="4" s="1"/>
  <c r="E22" i="6" s="1"/>
  <c r="C74" i="3"/>
  <c r="B123" i="5"/>
  <c r="B35" i="5" l="1"/>
  <c r="B38" i="5"/>
  <c r="D30" i="6" s="1"/>
  <c r="G30" i="6" s="1"/>
  <c r="B37" i="5"/>
  <c r="D29" i="6" s="1"/>
  <c r="B36" i="5"/>
  <c r="D28" i="6" s="1"/>
  <c r="B39" i="5"/>
  <c r="D31" i="6" s="1"/>
  <c r="G31" i="6" s="1"/>
  <c r="B40" i="3"/>
  <c r="D12" i="6" s="1"/>
  <c r="G12" i="6" s="1"/>
  <c r="B129" i="5"/>
  <c r="B132" i="5"/>
  <c r="F30" i="6" s="1"/>
  <c r="B38" i="4"/>
  <c r="D20" i="6" s="1"/>
  <c r="B40" i="5"/>
  <c r="D32" i="6" s="1"/>
  <c r="B86" i="5"/>
  <c r="E31" i="6" s="1"/>
  <c r="B78" i="5"/>
  <c r="B31" i="4"/>
  <c r="B36" i="4"/>
  <c r="D18" i="6" s="1"/>
  <c r="B130" i="5"/>
  <c r="F28" i="6" s="1"/>
  <c r="B83" i="3"/>
  <c r="E8" i="6" s="1"/>
  <c r="B84" i="4"/>
  <c r="E19" i="6" s="1"/>
  <c r="B131" i="5"/>
  <c r="F29" i="6" s="1"/>
  <c r="B86" i="4"/>
  <c r="E21" i="6" s="1"/>
  <c r="B134" i="3"/>
  <c r="F12" i="6" s="1"/>
  <c r="B82" i="3"/>
  <c r="C125" i="4"/>
  <c r="B134" i="4" s="1"/>
  <c r="F22" i="6" s="1"/>
  <c r="B87" i="5"/>
  <c r="E32" i="6" s="1"/>
  <c r="G32" i="6" s="1"/>
  <c r="B133" i="5"/>
  <c r="F31" i="6" s="1"/>
  <c r="B86" i="3"/>
  <c r="E11" i="6" s="1"/>
  <c r="B85" i="4"/>
  <c r="E20" i="6" s="1"/>
  <c r="B134" i="5"/>
  <c r="F32" i="6" s="1"/>
  <c r="B137" i="3"/>
  <c r="B138" i="3" s="1"/>
  <c r="B140" i="3" s="1"/>
  <c r="B141" i="3" s="1"/>
  <c r="B84" i="3"/>
  <c r="E9" i="6" s="1"/>
  <c r="B132" i="3"/>
  <c r="F10" i="6" s="1"/>
  <c r="C31" i="3"/>
  <c r="B87" i="3"/>
  <c r="E12" i="6" s="1"/>
  <c r="B85" i="5"/>
  <c r="E30" i="6" s="1"/>
  <c r="B82" i="4"/>
  <c r="B83" i="4"/>
  <c r="E18" i="6" s="1"/>
  <c r="F27" i="6" l="1"/>
  <c r="B137" i="5"/>
  <c r="B138" i="5" s="1"/>
  <c r="B140" i="5" s="1"/>
  <c r="B141" i="5" s="1"/>
  <c r="E17" i="6"/>
  <c r="B90" i="4"/>
  <c r="B91" i="4" s="1"/>
  <c r="B93" i="4" s="1"/>
  <c r="B94" i="4" s="1"/>
  <c r="B133" i="4"/>
  <c r="F21" i="6" s="1"/>
  <c r="B132" i="4"/>
  <c r="F20" i="6" s="1"/>
  <c r="G20" i="6" s="1"/>
  <c r="B129" i="4"/>
  <c r="B131" i="4"/>
  <c r="F19" i="6" s="1"/>
  <c r="B130" i="4"/>
  <c r="F18" i="6" s="1"/>
  <c r="G18" i="6" s="1"/>
  <c r="B35" i="4"/>
  <c r="B40" i="4"/>
  <c r="D22" i="6" s="1"/>
  <c r="G22" i="6" s="1"/>
  <c r="B37" i="4"/>
  <c r="D19" i="6" s="1"/>
  <c r="G19" i="6" s="1"/>
  <c r="B38" i="3"/>
  <c r="D10" i="6" s="1"/>
  <c r="G10" i="6" s="1"/>
  <c r="B35" i="3"/>
  <c r="B36" i="3"/>
  <c r="D8" i="6" s="1"/>
  <c r="G8" i="6" s="1"/>
  <c r="B37" i="3"/>
  <c r="D9" i="6" s="1"/>
  <c r="G9" i="6" s="1"/>
  <c r="B39" i="3"/>
  <c r="D11" i="6" s="1"/>
  <c r="G11" i="6" s="1"/>
  <c r="E7" i="6"/>
  <c r="B90" i="3"/>
  <c r="B91" i="3" s="1"/>
  <c r="B93" i="3" s="1"/>
  <c r="B94" i="3" s="1"/>
  <c r="B82" i="5"/>
  <c r="B84" i="5"/>
  <c r="E29" i="6" s="1"/>
  <c r="G29" i="6" s="1"/>
  <c r="B83" i="5"/>
  <c r="E28" i="6" s="1"/>
  <c r="G28" i="6" s="1"/>
  <c r="B39" i="4"/>
  <c r="D21" i="6" s="1"/>
  <c r="G21" i="6" s="1"/>
  <c r="D27" i="6"/>
  <c r="B43" i="5"/>
  <c r="B44" i="5" s="1"/>
  <c r="B46" i="5" s="1"/>
  <c r="B47" i="5" s="1"/>
  <c r="B43" i="3" l="1"/>
  <c r="B44" i="3" s="1"/>
  <c r="B46" i="3" s="1"/>
  <c r="B47" i="3" s="1"/>
  <c r="D7" i="6"/>
  <c r="G7" i="6" s="1"/>
  <c r="A11" i="6"/>
  <c r="F17" i="6"/>
  <c r="B137" i="4"/>
  <c r="B138" i="4" s="1"/>
  <c r="B140" i="4" s="1"/>
  <c r="B141" i="4" s="1"/>
  <c r="E27" i="6"/>
  <c r="G27" i="6" s="1"/>
  <c r="B90" i="5"/>
  <c r="B91" i="5" s="1"/>
  <c r="B93" i="5" s="1"/>
  <c r="B94" i="5" s="1"/>
  <c r="B43" i="4"/>
  <c r="B44" i="4" s="1"/>
  <c r="B46" i="4" s="1"/>
  <c r="B47" i="4" s="1"/>
  <c r="D17" i="6"/>
  <c r="G17" i="6" s="1"/>
  <c r="A17" i="6" s="1"/>
  <c r="A9" i="6"/>
  <c r="A27" i="6" l="1"/>
  <c r="A31" i="6"/>
  <c r="A30" i="6"/>
  <c r="A32" i="6"/>
  <c r="A28" i="6"/>
  <c r="A29" i="6"/>
  <c r="A21" i="6"/>
  <c r="A7" i="6"/>
  <c r="A12" i="6"/>
  <c r="A18" i="6"/>
  <c r="A19" i="6"/>
  <c r="A22" i="6"/>
  <c r="A10" i="6"/>
  <c r="A8" i="6"/>
  <c r="A20" i="6"/>
</calcChain>
</file>

<file path=xl/sharedStrings.xml><?xml version="1.0" encoding="utf-8"?>
<sst xmlns="http://schemas.openxmlformats.org/spreadsheetml/2006/main" count="682" uniqueCount="69">
  <si>
    <t>AHP Calculator — Instructions</t>
  </si>
  <si>
    <t>1. Print or send the companion file AHP_Expert_Survey.docx to your marketing expert(s).</t>
  </si>
  <si>
    <t>2. Once the expert returns the completed survey, open this workbook.</t>
  </si>
  <si>
    <t>3. Go to the 'Criteria Weights' sheet and enter the expert's ratings in the YELLOW input cells, following the same +1 to +9 / -1 to -9 convention used in the survey (positive = left item preferred, negative = right item preferred).</t>
  </si>
  <si>
    <t>4. Go to each dataset sheet (Privacy / Luxury / Apparel) and enter the 15 pairwise ratings for each of the three criteria (Fidelity, Utility, Privacy) in the YELLOW input cells.</t>
  </si>
  <si>
    <t>5. All weights, Consistency Ratios (CR), and the final composite AHP score update AUTOMATICALLY as you type — no manual calculation needed.</t>
  </si>
  <si>
    <t>6. Check the 'Consistent?' flag after each block. If it shows '✗ FAIL', the judgements for that block are not logically consistent (CR ≥ 0.10) — ask the expert to review and revise those specific pairwise ratings.</t>
  </si>
  <si>
    <t>7. The 'Final Scores' sheet aggregates everything into the final ranked AHP composite score per experiment, per dataset.</t>
  </si>
  <si>
    <t>8. If multiple experts complete the survey, duplicate this workbook per expert, then average the final weight vectors across experts (geometric mean is preferred for AHP aggregation).</t>
  </si>
  <si>
    <t>Part A — Criteria Pairwise Comparison</t>
  </si>
  <si>
    <t>Criteria Comparison: Fidelity vs Utility vs Privacy</t>
  </si>
  <si>
    <t>Enter the expert's rating from the survey Part A. Positive = left item (Item A) preferred; negative = right item (Item B) preferred. Example: Fidelity vs Utility, rating +3 means 'Fidelity is moderately more important than Utility'.</t>
  </si>
  <si>
    <t>Item A</t>
  </si>
  <si>
    <t>Item B</t>
  </si>
  <si>
    <t>Rating
(+1 to +9 = A wins;
-1 to -9 = B wins)</t>
  </si>
  <si>
    <t>Fidelity</t>
  </si>
  <si>
    <t>Utility</t>
  </si>
  <si>
    <t>Privacy</t>
  </si>
  <si>
    <t>Pairwise Comparison Matrix (auto-calculated)</t>
  </si>
  <si>
    <t>Column Sum</t>
  </si>
  <si>
    <t>Normalized Weights</t>
  </si>
  <si>
    <t>Item</t>
  </si>
  <si>
    <t>Priority Weight</t>
  </si>
  <si>
    <t>Consistency Check</t>
  </si>
  <si>
    <t>λ max</t>
  </si>
  <si>
    <t>CI = (λmax - n) / (n-1)</t>
  </si>
  <si>
    <t>RI (n=3)</t>
  </si>
  <si>
    <t>CR = CI / RI</t>
  </si>
  <si>
    <t>Consistent? (CR &lt; 0.10)</t>
  </si>
  <si>
    <t>Part B — Privacy Dataset — Alternative Comparison</t>
  </si>
  <si>
    <t>Fidelity — Compare E1 through E6</t>
  </si>
  <si>
    <t>Enter the expert's 15 pairwise ratings for Fidelity from the survey (Part B, Privacy dataset, Fidelity section). Positive = left experiment preferred; negative = right experiment preferred.</t>
  </si>
  <si>
    <t>E1</t>
  </si>
  <si>
    <t>E2</t>
  </si>
  <si>
    <t>E3</t>
  </si>
  <si>
    <t>E4</t>
  </si>
  <si>
    <t>E5</t>
  </si>
  <si>
    <t>E6</t>
  </si>
  <si>
    <t>RI (n=6)</t>
  </si>
  <si>
    <t>Utility — Compare E1 through E6</t>
  </si>
  <si>
    <t>Enter the expert's 15 pairwise ratings for Utility from the survey (Part B, Privacy dataset, Utility section). Positive = left experiment preferred; negative = right experiment preferred.</t>
  </si>
  <si>
    <t>Privacy — Compare E1 through E6</t>
  </si>
  <si>
    <t>Enter the expert's 15 pairwise ratings for Privacy from the survey (Part B, Privacy dataset, Privacy section). Positive = left experiment preferred; negative = right experiment preferred.</t>
  </si>
  <si>
    <t>Part B — Luxury Dataset — Alternative Comparison</t>
  </si>
  <si>
    <t>Enter the expert's 15 pairwise ratings for Fidelity from the survey (Part B, Luxury dataset, Fidelity section). Positive = left experiment preferred; negative = right experiment preferred.</t>
  </si>
  <si>
    <t>Enter the expert's 15 pairwise ratings for Utility from the survey (Part B, Luxury dataset, Utility section). Positive = left experiment preferred; negative = right experiment preferred.</t>
  </si>
  <si>
    <t>Enter the expert's 15 pairwise ratings for Privacy from the survey (Part B, Luxury dataset, Privacy section). Positive = left experiment preferred; negative = right experiment preferred.</t>
  </si>
  <si>
    <t>Part B — Apparel Dataset — Alternative Comparison</t>
  </si>
  <si>
    <t>Enter the expert's 15 pairwise ratings for Fidelity from the survey (Part B, Apparel dataset, Fidelity section). Positive = left experiment preferred; negative = right experiment preferred.</t>
  </si>
  <si>
    <t>Enter the expert's 15 pairwise ratings for Utility from the survey (Part B, Apparel dataset, Utility section). Positive = left experiment preferred; negative = right experiment preferred.</t>
  </si>
  <si>
    <t>Enter the expert's 15 pairwise ratings for Privacy from the survey (Part B, Apparel dataset, Privacy section). Positive = left experiment preferred; negative = right experiment preferred.</t>
  </si>
  <si>
    <t>Final AHP Composite Scores (auto-calculated)</t>
  </si>
  <si>
    <t>Composite Score = w(Fidelity)×Fid_weight(Exp) + w(Utility)×Util_weight(Exp) + w(Privacy)×Priv_weight(Exp)</t>
  </si>
  <si>
    <t>Dataset: Privacy</t>
  </si>
  <si>
    <t>Rank</t>
  </si>
  <si>
    <t>Experiment</t>
  </si>
  <si>
    <t>Method</t>
  </si>
  <si>
    <t>Fidelity
weight</t>
  </si>
  <si>
    <t>Utility
weight</t>
  </si>
  <si>
    <t>Privacy
weight</t>
  </si>
  <si>
    <t>Composite
Score</t>
  </si>
  <si>
    <t>LLM Baseline</t>
  </si>
  <si>
    <t>CTGAN Global</t>
  </si>
  <si>
    <t>Copula Global</t>
  </si>
  <si>
    <t>LLM + Segmentation</t>
  </si>
  <si>
    <t>Copula + Segmentation</t>
  </si>
  <si>
    <t>CTGAN + Segmentation</t>
  </si>
  <si>
    <t>Dataset: Luxury</t>
  </si>
  <si>
    <t>Dataset: Apparel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</si>
</sst>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1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i/>
      <sz val="9"/>
      <color rgb="FF666666"/>
      <name val="Calibri"/>
    </font>
    <font>
      <b/>
      <sz val="9"/>
      <name val="Calibri"/>
    </font>
    <font>
      <b/>
      <sz val="10"/>
      <name val="Calibri"/>
    </font>
    <font>
      <b/>
      <sz val="11"/>
      <name val="Calibri"/>
    </font>
    <font>
      <i/>
      <sz val="9"/>
      <name val="Calibri"/>
    </font>
    <font>
      <i/>
      <sz val="10"/>
      <color rgb="FF666666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D4E"/>
      </patternFill>
    </fill>
    <fill>
      <patternFill patternType="solid">
        <fgColor rgb="FF2E4057"/>
      </patternFill>
    </fill>
    <fill>
      <patternFill patternType="solid">
        <fgColor rgb="FFFFF9E6"/>
      </patternFill>
    </fill>
    <fill>
      <patternFill patternType="solid">
        <fgColor rgb="FFEAF1F8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0" borderId="0" xfId="0" applyFont="1"/>
    <xf numFmtId="0" fontId="4" fillId="2" borderId="1" xfId="0" applyFont="1" applyFill="1" applyBorder="1" applyAlignment="1">
      <alignment horizontal="center"/>
    </xf>
    <xf numFmtId="0" fontId="8" fillId="0" borderId="1" xfId="0" applyFont="1" applyBorder="1"/>
    <xf numFmtId="164" fontId="0" fillId="5" borderId="1" xfId="0" applyNumberFormat="1" applyFill="1" applyBorder="1" applyAlignment="1">
      <alignment horizontal="center"/>
    </xf>
    <xf numFmtId="0" fontId="9" fillId="0" borderId="0" xfId="0" applyFont="1"/>
    <xf numFmtId="165" fontId="0" fillId="6" borderId="1" xfId="0" applyNumberFormat="1" applyFill="1" applyBorder="1" applyAlignment="1">
      <alignment horizontal="center"/>
    </xf>
    <xf numFmtId="165" fontId="0" fillId="5" borderId="1" xfId="0" applyNumberFormat="1" applyFill="1" applyBorder="1"/>
    <xf numFmtId="2" fontId="0" fillId="5" borderId="1" xfId="0" applyNumberFormat="1" applyFill="1" applyBorder="1"/>
    <xf numFmtId="0" fontId="8" fillId="0" borderId="0" xfId="0" applyFont="1"/>
    <xf numFmtId="165" fontId="8" fillId="4" borderId="1" xfId="0" applyNumberFormat="1" applyFont="1" applyFill="1" applyBorder="1"/>
    <xf numFmtId="0" fontId="4" fillId="2" borderId="1" xfId="0" applyFont="1" applyFill="1" applyBorder="1" applyAlignment="1">
      <alignment horizontal="center" wrapText="1"/>
    </xf>
    <xf numFmtId="0" fontId="0" fillId="0" borderId="1" xfId="0" applyBorder="1"/>
    <xf numFmtId="165" fontId="0" fillId="0" borderId="1" xfId="0" applyNumberFormat="1" applyBorder="1" applyAlignment="1">
      <alignment horizontal="center"/>
    </xf>
    <xf numFmtId="165" fontId="8" fillId="5" borderId="1" xfId="0" applyNumberFormat="1" applyFont="1" applyFill="1" applyBorder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3" borderId="0" xfId="0" applyFont="1" applyFill="1"/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wrapText="1"/>
    </xf>
    <xf numFmtId="0" fontId="7" fillId="0" borderId="0" xfId="0" applyFont="1"/>
    <xf numFmtId="0" fontId="10" fillId="0" borderId="0" xfId="0" applyFont="1"/>
  </cellXfs>
  <cellStyles count="1">
    <cellStyle name="Normal" xfId="0" builtinId="0"/>
  </cellStyles>
  <dxfs count="1"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sqref="A1:F1"/>
    </sheetView>
  </sheetViews>
  <sheetFormatPr baseColWidth="10" defaultColWidth="8.83203125" defaultRowHeight="15" x14ac:dyDescent="0.2"/>
  <cols>
    <col min="1" max="1" width="14" customWidth="1"/>
    <col min="2" max="6" width="16" customWidth="1"/>
  </cols>
  <sheetData>
    <row r="1" spans="1:6" ht="30" customHeight="1" x14ac:dyDescent="0.2">
      <c r="A1" s="20" t="s">
        <v>0</v>
      </c>
      <c r="B1" s="19"/>
      <c r="C1" s="19"/>
      <c r="D1" s="19"/>
      <c r="E1" s="19"/>
      <c r="F1" s="19"/>
    </row>
    <row r="3" spans="1:6" ht="36" customHeight="1" x14ac:dyDescent="0.2">
      <c r="A3" s="18" t="s">
        <v>1</v>
      </c>
      <c r="B3" s="19"/>
      <c r="C3" s="19"/>
      <c r="D3" s="19"/>
      <c r="E3" s="19"/>
      <c r="F3" s="19"/>
    </row>
    <row r="4" spans="1:6" ht="36" customHeight="1" x14ac:dyDescent="0.2">
      <c r="A4" s="18" t="s">
        <v>2</v>
      </c>
      <c r="B4" s="19"/>
      <c r="C4" s="19"/>
      <c r="D4" s="19"/>
      <c r="E4" s="19"/>
      <c r="F4" s="19"/>
    </row>
    <row r="5" spans="1:6" ht="36" customHeight="1" x14ac:dyDescent="0.2">
      <c r="A5" s="18" t="s">
        <v>3</v>
      </c>
      <c r="B5" s="19"/>
      <c r="C5" s="19"/>
      <c r="D5" s="19"/>
      <c r="E5" s="19"/>
      <c r="F5" s="19"/>
    </row>
    <row r="6" spans="1:6" ht="36" customHeight="1" x14ac:dyDescent="0.2">
      <c r="A6" s="18" t="s">
        <v>4</v>
      </c>
      <c r="B6" s="19"/>
      <c r="C6" s="19"/>
      <c r="D6" s="19"/>
      <c r="E6" s="19"/>
      <c r="F6" s="19"/>
    </row>
    <row r="7" spans="1:6" ht="36" customHeight="1" x14ac:dyDescent="0.2">
      <c r="A7" s="18" t="s">
        <v>5</v>
      </c>
      <c r="B7" s="19"/>
      <c r="C7" s="19"/>
      <c r="D7" s="19"/>
      <c r="E7" s="19"/>
      <c r="F7" s="19"/>
    </row>
    <row r="8" spans="1:6" ht="36" customHeight="1" x14ac:dyDescent="0.2">
      <c r="A8" s="18" t="s">
        <v>6</v>
      </c>
      <c r="B8" s="19"/>
      <c r="C8" s="19"/>
      <c r="D8" s="19"/>
      <c r="E8" s="19"/>
      <c r="F8" s="19"/>
    </row>
    <row r="9" spans="1:6" ht="36" customHeight="1" x14ac:dyDescent="0.2">
      <c r="A9" s="18" t="s">
        <v>7</v>
      </c>
      <c r="B9" s="19"/>
      <c r="C9" s="19"/>
      <c r="D9" s="19"/>
      <c r="E9" s="19"/>
      <c r="F9" s="19"/>
    </row>
    <row r="10" spans="1:6" ht="36" customHeight="1" x14ac:dyDescent="0.2">
      <c r="A10" s="18" t="s">
        <v>8</v>
      </c>
      <c r="B10" s="19"/>
      <c r="C10" s="19"/>
      <c r="D10" s="19"/>
      <c r="E10" s="19"/>
      <c r="F10" s="19"/>
    </row>
  </sheetData>
  <mergeCells count="9">
    <mergeCell ref="A10:F10"/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topLeftCell="A6" zoomScale="150" workbookViewId="0">
      <selection sqref="A1:F1"/>
    </sheetView>
  </sheetViews>
  <sheetFormatPr baseColWidth="10" defaultColWidth="8.83203125" defaultRowHeight="15" x14ac:dyDescent="0.2"/>
  <cols>
    <col min="1" max="1" width="23.33203125" customWidth="1"/>
    <col min="2" max="2" width="14" customWidth="1"/>
    <col min="3" max="3" width="37.5" customWidth="1"/>
    <col min="4" max="7" width="14" customWidth="1"/>
  </cols>
  <sheetData>
    <row r="1" spans="1:6" ht="28" customHeight="1" x14ac:dyDescent="0.2">
      <c r="A1" s="22" t="s">
        <v>9</v>
      </c>
      <c r="B1" s="19"/>
      <c r="C1" s="19"/>
      <c r="D1" s="19"/>
      <c r="E1" s="19"/>
      <c r="F1" s="19"/>
    </row>
    <row r="3" spans="1:6" ht="20" customHeight="1" x14ac:dyDescent="0.2">
      <c r="A3" s="21" t="s">
        <v>10</v>
      </c>
      <c r="B3" s="19"/>
      <c r="C3" s="19"/>
      <c r="D3" s="19"/>
      <c r="E3" s="19"/>
      <c r="F3" s="19"/>
    </row>
    <row r="4" spans="1:6" ht="24" customHeight="1" x14ac:dyDescent="0.2">
      <c r="A4" s="23" t="s">
        <v>11</v>
      </c>
      <c r="B4" s="19"/>
      <c r="C4" s="19"/>
      <c r="D4" s="19"/>
      <c r="E4" s="19"/>
      <c r="F4" s="19"/>
    </row>
    <row r="5" spans="1:6" ht="42" customHeight="1" x14ac:dyDescent="0.2">
      <c r="A5" s="1" t="s">
        <v>12</v>
      </c>
      <c r="B5" s="1" t="s">
        <v>13</v>
      </c>
      <c r="C5" s="1" t="s">
        <v>14</v>
      </c>
    </row>
    <row r="6" spans="1:6" x14ac:dyDescent="0.2">
      <c r="A6" s="2" t="s">
        <v>15</v>
      </c>
      <c r="B6" s="2" t="s">
        <v>16</v>
      </c>
      <c r="C6" s="3">
        <v>1</v>
      </c>
    </row>
    <row r="7" spans="1:6" x14ac:dyDescent="0.2">
      <c r="A7" s="2" t="s">
        <v>15</v>
      </c>
      <c r="B7" s="2" t="s">
        <v>17</v>
      </c>
      <c r="C7" s="3">
        <v>1</v>
      </c>
    </row>
    <row r="8" spans="1:6" x14ac:dyDescent="0.2">
      <c r="A8" s="2" t="s">
        <v>16</v>
      </c>
      <c r="B8" s="2" t="s">
        <v>17</v>
      </c>
      <c r="C8" s="3">
        <v>1</v>
      </c>
    </row>
    <row r="10" spans="1:6" x14ac:dyDescent="0.2">
      <c r="A10" s="24" t="s">
        <v>18</v>
      </c>
      <c r="B10" s="19"/>
      <c r="C10" s="19"/>
      <c r="D10" s="19"/>
      <c r="E10" s="19"/>
      <c r="F10" s="19"/>
    </row>
    <row r="11" spans="1:6" x14ac:dyDescent="0.2">
      <c r="B11" s="5" t="s">
        <v>15</v>
      </c>
      <c r="C11" s="5" t="s">
        <v>16</v>
      </c>
      <c r="D11" s="5" t="s">
        <v>17</v>
      </c>
    </row>
    <row r="12" spans="1:6" x14ac:dyDescent="0.2">
      <c r="A12" s="6" t="s">
        <v>15</v>
      </c>
      <c r="B12" s="7">
        <f>1</f>
        <v>1</v>
      </c>
      <c r="C12" s="7">
        <f>IF(C6&gt;=0,IF(C6=0,1,C6),1/ABS(C6))</f>
        <v>1</v>
      </c>
      <c r="D12" s="7">
        <f>IF(C7&gt;=0,IF(C7=0,1,C7),1/ABS(C7))</f>
        <v>1</v>
      </c>
    </row>
    <row r="13" spans="1:6" x14ac:dyDescent="0.2">
      <c r="A13" s="6" t="s">
        <v>16</v>
      </c>
      <c r="B13" s="7">
        <f>1/C12</f>
        <v>1</v>
      </c>
      <c r="C13" s="7">
        <f>1</f>
        <v>1</v>
      </c>
      <c r="D13" s="7">
        <f>IF(C8&gt;=0,IF(C8=0,1,C8),1/ABS(C8))</f>
        <v>1</v>
      </c>
    </row>
    <row r="14" spans="1:6" x14ac:dyDescent="0.2">
      <c r="A14" s="6" t="s">
        <v>17</v>
      </c>
      <c r="B14" s="7">
        <f>1/D12</f>
        <v>1</v>
      </c>
      <c r="C14" s="7">
        <f>1/D13</f>
        <v>1</v>
      </c>
      <c r="D14" s="7">
        <f>1</f>
        <v>1</v>
      </c>
    </row>
    <row r="16" spans="1:6" x14ac:dyDescent="0.2">
      <c r="A16" s="8" t="s">
        <v>19</v>
      </c>
      <c r="B16" s="7">
        <f>SUM(B12:B14)</f>
        <v>3</v>
      </c>
      <c r="C16" s="7">
        <f>SUM(C12:C14)</f>
        <v>3</v>
      </c>
      <c r="D16" s="7">
        <f>SUM(D12:D14)</f>
        <v>3</v>
      </c>
    </row>
    <row r="18" spans="1:2" x14ac:dyDescent="0.2">
      <c r="A18" s="4" t="s">
        <v>20</v>
      </c>
    </row>
    <row r="19" spans="1:2" x14ac:dyDescent="0.2">
      <c r="A19" s="5" t="s">
        <v>21</v>
      </c>
      <c r="B19" s="5" t="s">
        <v>22</v>
      </c>
    </row>
    <row r="20" spans="1:2" x14ac:dyDescent="0.2">
      <c r="A20" s="2" t="s">
        <v>15</v>
      </c>
      <c r="B20" s="9">
        <f>AVERAGE(B12/B16,C12/C16,D12/D16)</f>
        <v>0.33333333333333331</v>
      </c>
    </row>
    <row r="21" spans="1:2" x14ac:dyDescent="0.2">
      <c r="A21" s="2" t="s">
        <v>16</v>
      </c>
      <c r="B21" s="9">
        <f>AVERAGE(B13/B16,C13/C16,D13/D16)</f>
        <v>0.33333333333333331</v>
      </c>
    </row>
    <row r="22" spans="1:2" x14ac:dyDescent="0.2">
      <c r="A22" s="2" t="s">
        <v>17</v>
      </c>
      <c r="B22" s="9">
        <f>AVERAGE(B14/B16,C14/C16,D14/D16)</f>
        <v>0.33333333333333331</v>
      </c>
    </row>
    <row r="24" spans="1:2" x14ac:dyDescent="0.2">
      <c r="A24" s="4" t="s">
        <v>23</v>
      </c>
    </row>
    <row r="25" spans="1:2" x14ac:dyDescent="0.2">
      <c r="A25" t="s">
        <v>24</v>
      </c>
      <c r="B25" s="10">
        <f>AVERAGE(((B12*B20+C12*B21+D12*B22)/B20),((B13*B20+C13*B21+D13*B22)/B21),((B14*B20+C14*B21+D14*B22)/B22))</f>
        <v>3</v>
      </c>
    </row>
    <row r="26" spans="1:2" x14ac:dyDescent="0.2">
      <c r="A26" t="s">
        <v>25</v>
      </c>
      <c r="B26" s="10">
        <f>(B25-3)/2</f>
        <v>0</v>
      </c>
    </row>
    <row r="27" spans="1:2" x14ac:dyDescent="0.2">
      <c r="A27" t="s">
        <v>26</v>
      </c>
      <c r="B27" s="11">
        <v>0.57999999999999996</v>
      </c>
    </row>
    <row r="28" spans="1:2" x14ac:dyDescent="0.2">
      <c r="A28" s="12" t="s">
        <v>27</v>
      </c>
      <c r="B28" s="13">
        <f>IF(B27=0,0,B26/B27)</f>
        <v>0</v>
      </c>
    </row>
    <row r="29" spans="1:2" x14ac:dyDescent="0.2">
      <c r="A29" s="12" t="s">
        <v>28</v>
      </c>
      <c r="B29" s="6" t="str">
        <f>IF(B28&lt;0.1,"✓ PASS","✗ FAIL — revise judgements")</f>
        <v>✓ PASS</v>
      </c>
    </row>
  </sheetData>
  <mergeCells count="4">
    <mergeCell ref="A3:F3"/>
    <mergeCell ref="A1:F1"/>
    <mergeCell ref="A4:F4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1"/>
  <sheetViews>
    <sheetView topLeftCell="A134" workbookViewId="0">
      <selection sqref="A1:F1"/>
    </sheetView>
  </sheetViews>
  <sheetFormatPr baseColWidth="10" defaultColWidth="8.83203125" defaultRowHeight="15" x14ac:dyDescent="0.2"/>
  <cols>
    <col min="1" max="1" width="20.6640625" customWidth="1"/>
    <col min="2" max="2" width="14" customWidth="1"/>
    <col min="3" max="3" width="30" customWidth="1"/>
    <col min="4" max="7" width="14" customWidth="1"/>
  </cols>
  <sheetData>
    <row r="1" spans="1:6" ht="28" customHeight="1" x14ac:dyDescent="0.2">
      <c r="A1" s="22" t="s">
        <v>29</v>
      </c>
      <c r="B1" s="19"/>
      <c r="C1" s="19"/>
      <c r="D1" s="19"/>
      <c r="E1" s="19"/>
      <c r="F1" s="19"/>
    </row>
    <row r="3" spans="1:6" ht="20" customHeight="1" x14ac:dyDescent="0.2">
      <c r="A3" s="21" t="s">
        <v>30</v>
      </c>
      <c r="B3" s="19"/>
      <c r="C3" s="19"/>
      <c r="D3" s="19"/>
      <c r="E3" s="19"/>
      <c r="F3" s="19"/>
    </row>
    <row r="4" spans="1:6" ht="28" customHeight="1" x14ac:dyDescent="0.2">
      <c r="A4" s="23" t="s">
        <v>31</v>
      </c>
      <c r="B4" s="19"/>
      <c r="C4" s="19"/>
      <c r="D4" s="19"/>
      <c r="E4" s="19"/>
      <c r="F4" s="19"/>
    </row>
    <row r="5" spans="1:6" ht="55" customHeight="1" x14ac:dyDescent="0.2">
      <c r="A5" s="1" t="s">
        <v>12</v>
      </c>
      <c r="B5" s="1" t="s">
        <v>13</v>
      </c>
      <c r="C5" s="1" t="s">
        <v>14</v>
      </c>
    </row>
    <row r="6" spans="1:6" x14ac:dyDescent="0.2">
      <c r="A6" s="2" t="s">
        <v>32</v>
      </c>
      <c r="B6" s="2" t="s">
        <v>33</v>
      </c>
      <c r="C6" s="3">
        <v>1</v>
      </c>
    </row>
    <row r="7" spans="1:6" x14ac:dyDescent="0.2">
      <c r="A7" s="2" t="s">
        <v>32</v>
      </c>
      <c r="B7" s="2" t="s">
        <v>34</v>
      </c>
      <c r="C7" s="3">
        <v>1</v>
      </c>
    </row>
    <row r="8" spans="1:6" x14ac:dyDescent="0.2">
      <c r="A8" s="2" t="s">
        <v>32</v>
      </c>
      <c r="B8" s="2" t="s">
        <v>35</v>
      </c>
      <c r="C8" s="3">
        <v>1</v>
      </c>
    </row>
    <row r="9" spans="1:6" x14ac:dyDescent="0.2">
      <c r="A9" s="2" t="s">
        <v>32</v>
      </c>
      <c r="B9" s="2" t="s">
        <v>36</v>
      </c>
      <c r="C9" s="3">
        <v>1</v>
      </c>
    </row>
    <row r="10" spans="1:6" x14ac:dyDescent="0.2">
      <c r="A10" s="2" t="s">
        <v>32</v>
      </c>
      <c r="B10" s="2" t="s">
        <v>37</v>
      </c>
      <c r="C10" s="3">
        <v>1</v>
      </c>
    </row>
    <row r="11" spans="1:6" x14ac:dyDescent="0.2">
      <c r="A11" s="2" t="s">
        <v>33</v>
      </c>
      <c r="B11" s="2" t="s">
        <v>34</v>
      </c>
      <c r="C11" s="3">
        <v>1</v>
      </c>
    </row>
    <row r="12" spans="1:6" x14ac:dyDescent="0.2">
      <c r="A12" s="2" t="s">
        <v>33</v>
      </c>
      <c r="B12" s="2" t="s">
        <v>35</v>
      </c>
      <c r="C12" s="3">
        <v>1</v>
      </c>
    </row>
    <row r="13" spans="1:6" x14ac:dyDescent="0.2">
      <c r="A13" s="2" t="s">
        <v>33</v>
      </c>
      <c r="B13" s="2" t="s">
        <v>36</v>
      </c>
      <c r="C13" s="3">
        <v>1</v>
      </c>
    </row>
    <row r="14" spans="1:6" x14ac:dyDescent="0.2">
      <c r="A14" s="2" t="s">
        <v>33</v>
      </c>
      <c r="B14" s="2" t="s">
        <v>37</v>
      </c>
      <c r="C14" s="3">
        <v>1</v>
      </c>
    </row>
    <row r="15" spans="1:6" x14ac:dyDescent="0.2">
      <c r="A15" s="2" t="s">
        <v>34</v>
      </c>
      <c r="B15" s="2" t="s">
        <v>35</v>
      </c>
      <c r="C15" s="3">
        <v>1</v>
      </c>
    </row>
    <row r="16" spans="1:6" x14ac:dyDescent="0.2">
      <c r="A16" s="2" t="s">
        <v>34</v>
      </c>
      <c r="B16" s="2" t="s">
        <v>36</v>
      </c>
      <c r="C16" s="3">
        <v>1</v>
      </c>
    </row>
    <row r="17" spans="1:7" x14ac:dyDescent="0.2">
      <c r="A17" s="2" t="s">
        <v>34</v>
      </c>
      <c r="B17" s="2" t="s">
        <v>37</v>
      </c>
      <c r="C17" s="3">
        <v>1</v>
      </c>
    </row>
    <row r="18" spans="1:7" x14ac:dyDescent="0.2">
      <c r="A18" s="2" t="s">
        <v>35</v>
      </c>
      <c r="B18" s="2" t="s">
        <v>36</v>
      </c>
      <c r="C18" s="3">
        <v>1</v>
      </c>
    </row>
    <row r="19" spans="1:7" x14ac:dyDescent="0.2">
      <c r="A19" s="2" t="s">
        <v>35</v>
      </c>
      <c r="B19" s="2" t="s">
        <v>37</v>
      </c>
      <c r="C19" s="3">
        <v>1</v>
      </c>
    </row>
    <row r="20" spans="1:7" x14ac:dyDescent="0.2">
      <c r="A20" s="2" t="s">
        <v>36</v>
      </c>
      <c r="B20" s="2" t="s">
        <v>37</v>
      </c>
      <c r="C20" s="3">
        <v>1</v>
      </c>
    </row>
    <row r="22" spans="1:7" x14ac:dyDescent="0.2">
      <c r="A22" s="24" t="s">
        <v>18</v>
      </c>
      <c r="B22" s="19"/>
      <c r="C22" s="19"/>
      <c r="D22" s="19"/>
      <c r="E22" s="19"/>
      <c r="F22" s="19"/>
    </row>
    <row r="23" spans="1:7" x14ac:dyDescent="0.2">
      <c r="B23" s="5" t="s">
        <v>32</v>
      </c>
      <c r="C23" s="5" t="s">
        <v>33</v>
      </c>
      <c r="D23" s="5" t="s">
        <v>34</v>
      </c>
      <c r="E23" s="5" t="s">
        <v>35</v>
      </c>
      <c r="F23" s="5" t="s">
        <v>36</v>
      </c>
      <c r="G23" s="5" t="s">
        <v>37</v>
      </c>
    </row>
    <row r="24" spans="1:7" x14ac:dyDescent="0.2">
      <c r="A24" s="6" t="s">
        <v>32</v>
      </c>
      <c r="B24" s="7">
        <f>1</f>
        <v>1</v>
      </c>
      <c r="C24" s="7">
        <f>IF(C6&gt;=0,IF(C6=0,1,C6),1/ABS(C6))</f>
        <v>1</v>
      </c>
      <c r="D24" s="7">
        <f>IF(C7&gt;=0,IF(C7=0,1,C7),1/ABS(C7))</f>
        <v>1</v>
      </c>
      <c r="E24" s="7">
        <f>IF(C8&gt;=0,IF(C8=0,1,C8),1/ABS(C8))</f>
        <v>1</v>
      </c>
      <c r="F24" s="7">
        <f>IF(C9&gt;=0,IF(C9=0,1,C9),1/ABS(C9))</f>
        <v>1</v>
      </c>
      <c r="G24" s="7">
        <f>IF(C10&gt;=0,IF(C10=0,1,C10),1/ABS(C10))</f>
        <v>1</v>
      </c>
    </row>
    <row r="25" spans="1:7" x14ac:dyDescent="0.2">
      <c r="A25" s="6" t="s">
        <v>33</v>
      </c>
      <c r="B25" s="7">
        <f>1/C24</f>
        <v>1</v>
      </c>
      <c r="C25" s="7">
        <f>1</f>
        <v>1</v>
      </c>
      <c r="D25" s="7">
        <f>IF(C11&gt;=0,IF(C11=0,1,C11),1/ABS(C11))</f>
        <v>1</v>
      </c>
      <c r="E25" s="7">
        <f>IF(C12&gt;=0,IF(C12=0,1,C12),1/ABS(C12))</f>
        <v>1</v>
      </c>
      <c r="F25" s="7">
        <f>IF(C13&gt;=0,IF(C13=0,1,C13),1/ABS(C13))</f>
        <v>1</v>
      </c>
      <c r="G25" s="7">
        <f>IF(C14&gt;=0,IF(C14=0,1,C14),1/ABS(C14))</f>
        <v>1</v>
      </c>
    </row>
    <row r="26" spans="1:7" x14ac:dyDescent="0.2">
      <c r="A26" s="6" t="s">
        <v>34</v>
      </c>
      <c r="B26" s="7">
        <f>1/D24</f>
        <v>1</v>
      </c>
      <c r="C26" s="7">
        <f>1/D25</f>
        <v>1</v>
      </c>
      <c r="D26" s="7">
        <f>1</f>
        <v>1</v>
      </c>
      <c r="E26" s="7">
        <f>IF(C15&gt;=0,IF(C15=0,1,C15),1/ABS(C15))</f>
        <v>1</v>
      </c>
      <c r="F26" s="7">
        <f>IF(C16&gt;=0,IF(C16=0,1,C16),1/ABS(C16))</f>
        <v>1</v>
      </c>
      <c r="G26" s="7">
        <f>IF(C17&gt;=0,IF(C17=0,1,C17),1/ABS(C17))</f>
        <v>1</v>
      </c>
    </row>
    <row r="27" spans="1:7" x14ac:dyDescent="0.2">
      <c r="A27" s="6" t="s">
        <v>35</v>
      </c>
      <c r="B27" s="7">
        <f>1/E24</f>
        <v>1</v>
      </c>
      <c r="C27" s="7">
        <f>1/E25</f>
        <v>1</v>
      </c>
      <c r="D27" s="7">
        <f>1/E26</f>
        <v>1</v>
      </c>
      <c r="E27" s="7">
        <f>1</f>
        <v>1</v>
      </c>
      <c r="F27" s="7">
        <f>IF(C18&gt;=0,IF(C18=0,1,C18),1/ABS(C18))</f>
        <v>1</v>
      </c>
      <c r="G27" s="7">
        <f>IF(C19&gt;=0,IF(C19=0,1,C19),1/ABS(C19))</f>
        <v>1</v>
      </c>
    </row>
    <row r="28" spans="1:7" x14ac:dyDescent="0.2">
      <c r="A28" s="6" t="s">
        <v>36</v>
      </c>
      <c r="B28" s="7">
        <f>1/F24</f>
        <v>1</v>
      </c>
      <c r="C28" s="7">
        <f>1/F25</f>
        <v>1</v>
      </c>
      <c r="D28" s="7">
        <f>1/F26</f>
        <v>1</v>
      </c>
      <c r="E28" s="7">
        <f>1/F27</f>
        <v>1</v>
      </c>
      <c r="F28" s="7">
        <f>1</f>
        <v>1</v>
      </c>
      <c r="G28" s="7">
        <f>IF(C20&gt;=0,IF(C20=0,1,C20),1/ABS(C20))</f>
        <v>1</v>
      </c>
    </row>
    <row r="29" spans="1:7" x14ac:dyDescent="0.2">
      <c r="A29" s="6" t="s">
        <v>37</v>
      </c>
      <c r="B29" s="7">
        <f>1/G24</f>
        <v>1</v>
      </c>
      <c r="C29" s="7">
        <f>1/G25</f>
        <v>1</v>
      </c>
      <c r="D29" s="7">
        <f>1/G26</f>
        <v>1</v>
      </c>
      <c r="E29" s="7">
        <f>1/G27</f>
        <v>1</v>
      </c>
      <c r="F29" s="7">
        <f>1/G28</f>
        <v>1</v>
      </c>
      <c r="G29" s="7">
        <f>1</f>
        <v>1</v>
      </c>
    </row>
    <row r="31" spans="1:7" x14ac:dyDescent="0.2">
      <c r="A31" s="8" t="s">
        <v>19</v>
      </c>
      <c r="B31" s="7">
        <f t="shared" ref="B31:G31" si="0">SUM(B24:B29)</f>
        <v>6</v>
      </c>
      <c r="C31" s="7">
        <f t="shared" si="0"/>
        <v>6</v>
      </c>
      <c r="D31" s="7">
        <f t="shared" si="0"/>
        <v>6</v>
      </c>
      <c r="E31" s="7">
        <f t="shared" si="0"/>
        <v>6</v>
      </c>
      <c r="F31" s="7">
        <f t="shared" si="0"/>
        <v>6</v>
      </c>
      <c r="G31" s="7">
        <f t="shared" si="0"/>
        <v>6</v>
      </c>
    </row>
    <row r="33" spans="1:2" x14ac:dyDescent="0.2">
      <c r="A33" s="4" t="s">
        <v>20</v>
      </c>
    </row>
    <row r="34" spans="1:2" x14ac:dyDescent="0.2">
      <c r="A34" s="5" t="s">
        <v>21</v>
      </c>
      <c r="B34" s="5" t="s">
        <v>22</v>
      </c>
    </row>
    <row r="35" spans="1:2" x14ac:dyDescent="0.2">
      <c r="A35" s="2" t="s">
        <v>32</v>
      </c>
      <c r="B35" s="9">
        <f>AVERAGE(B24/B31,C24/C31,D24/D31,E24/E31,F24/F31,G24/G31)</f>
        <v>0.16666666666666666</v>
      </c>
    </row>
    <row r="36" spans="1:2" x14ac:dyDescent="0.2">
      <c r="A36" s="2" t="s">
        <v>33</v>
      </c>
      <c r="B36" s="9">
        <f>AVERAGE(B25/B31,C25/C31,D25/D31,E25/E31,F25/F31,G25/G31)</f>
        <v>0.16666666666666666</v>
      </c>
    </row>
    <row r="37" spans="1:2" x14ac:dyDescent="0.2">
      <c r="A37" s="2" t="s">
        <v>34</v>
      </c>
      <c r="B37" s="9">
        <f>AVERAGE(B26/B31,C26/C31,D26/D31,E26/E31,F26/F31,G26/G31)</f>
        <v>0.16666666666666666</v>
      </c>
    </row>
    <row r="38" spans="1:2" x14ac:dyDescent="0.2">
      <c r="A38" s="2" t="s">
        <v>35</v>
      </c>
      <c r="B38" s="9">
        <f>AVERAGE(B27/B31,C27/C31,D27/D31,E27/E31,F27/F31,G27/G31)</f>
        <v>0.16666666666666666</v>
      </c>
    </row>
    <row r="39" spans="1:2" x14ac:dyDescent="0.2">
      <c r="A39" s="2" t="s">
        <v>36</v>
      </c>
      <c r="B39" s="9">
        <f>AVERAGE(B28/B31,C28/C31,D28/D31,E28/E31,F28/F31,G28/G31)</f>
        <v>0.16666666666666666</v>
      </c>
    </row>
    <row r="40" spans="1:2" x14ac:dyDescent="0.2">
      <c r="A40" s="2" t="s">
        <v>37</v>
      </c>
      <c r="B40" s="9">
        <f>AVERAGE(B29/B31,C29/C31,D29/D31,E29/E31,F29/F31,G29/G31)</f>
        <v>0.16666666666666666</v>
      </c>
    </row>
    <row r="42" spans="1:2" x14ac:dyDescent="0.2">
      <c r="A42" s="4" t="s">
        <v>23</v>
      </c>
    </row>
    <row r="43" spans="1:2" x14ac:dyDescent="0.2">
      <c r="A43" t="s">
        <v>24</v>
      </c>
      <c r="B43" s="10">
        <f>AVERAGE(((B24*B35+C24*B36+D24*B37+E24*B38+F24*B39+G24*B40)/B35),((B25*B35+C25*B36+D25*B37+E25*B38+F25*B39+G25*B40)/B36),((B26*B35+C26*B36+D26*B37+E26*B38+F26*B39+G26*B40)/B37),((B27*B35+C27*B36+D27*B37+E27*B38+F27*B39+G27*B40)/B38),((B28*B35+C28*B36+D28*B37+E28*B38+F28*B39+G28*B40)/B39),((B29*B35+C29*B36+D29*B37+E29*B38+F29*B39+G29*B40)/B40))</f>
        <v>6</v>
      </c>
    </row>
    <row r="44" spans="1:2" x14ac:dyDescent="0.2">
      <c r="A44" t="s">
        <v>25</v>
      </c>
      <c r="B44" s="10">
        <f>(B43-6)/5</f>
        <v>0</v>
      </c>
    </row>
    <row r="45" spans="1:2" x14ac:dyDescent="0.2">
      <c r="A45" t="s">
        <v>38</v>
      </c>
      <c r="B45" s="11">
        <v>1.24</v>
      </c>
    </row>
    <row r="46" spans="1:2" x14ac:dyDescent="0.2">
      <c r="A46" s="12" t="s">
        <v>27</v>
      </c>
      <c r="B46" s="13">
        <f>IF(B45=0,0,B44/B45)</f>
        <v>0</v>
      </c>
    </row>
    <row r="47" spans="1:2" x14ac:dyDescent="0.2">
      <c r="A47" s="12" t="s">
        <v>28</v>
      </c>
      <c r="B47" s="6" t="str">
        <f>IF(B46&lt;0.1,"✓ PASS","✗ FAIL — revise judgements")</f>
        <v>✓ PASS</v>
      </c>
    </row>
    <row r="50" spans="1:6" ht="20" customHeight="1" x14ac:dyDescent="0.2">
      <c r="A50" s="21" t="s">
        <v>39</v>
      </c>
      <c r="B50" s="19"/>
      <c r="C50" s="19"/>
      <c r="D50" s="19"/>
      <c r="E50" s="19"/>
      <c r="F50" s="19"/>
    </row>
    <row r="51" spans="1:6" ht="28" customHeight="1" x14ac:dyDescent="0.2">
      <c r="A51" s="23" t="s">
        <v>40</v>
      </c>
      <c r="B51" s="19"/>
      <c r="C51" s="19"/>
      <c r="D51" s="19"/>
      <c r="E51" s="19"/>
      <c r="F51" s="19"/>
    </row>
    <row r="52" spans="1:6" ht="43" customHeight="1" x14ac:dyDescent="0.2">
      <c r="A52" s="1" t="s">
        <v>12</v>
      </c>
      <c r="B52" s="1" t="s">
        <v>13</v>
      </c>
      <c r="C52" s="1" t="s">
        <v>14</v>
      </c>
    </row>
    <row r="53" spans="1:6" x14ac:dyDescent="0.2">
      <c r="A53" s="2" t="s">
        <v>32</v>
      </c>
      <c r="B53" s="2" t="s">
        <v>33</v>
      </c>
      <c r="C53" s="3">
        <v>1</v>
      </c>
    </row>
    <row r="54" spans="1:6" x14ac:dyDescent="0.2">
      <c r="A54" s="2" t="s">
        <v>32</v>
      </c>
      <c r="B54" s="2" t="s">
        <v>34</v>
      </c>
      <c r="C54" s="3">
        <v>1</v>
      </c>
    </row>
    <row r="55" spans="1:6" x14ac:dyDescent="0.2">
      <c r="A55" s="2" t="s">
        <v>32</v>
      </c>
      <c r="B55" s="2" t="s">
        <v>35</v>
      </c>
      <c r="C55" s="3">
        <v>1</v>
      </c>
    </row>
    <row r="56" spans="1:6" x14ac:dyDescent="0.2">
      <c r="A56" s="2" t="s">
        <v>32</v>
      </c>
      <c r="B56" s="2" t="s">
        <v>36</v>
      </c>
      <c r="C56" s="3">
        <v>1</v>
      </c>
    </row>
    <row r="57" spans="1:6" x14ac:dyDescent="0.2">
      <c r="A57" s="2" t="s">
        <v>32</v>
      </c>
      <c r="B57" s="2" t="s">
        <v>37</v>
      </c>
      <c r="C57" s="3">
        <v>1</v>
      </c>
    </row>
    <row r="58" spans="1:6" x14ac:dyDescent="0.2">
      <c r="A58" s="2" t="s">
        <v>33</v>
      </c>
      <c r="B58" s="2" t="s">
        <v>34</v>
      </c>
      <c r="C58" s="3">
        <v>1</v>
      </c>
    </row>
    <row r="59" spans="1:6" x14ac:dyDescent="0.2">
      <c r="A59" s="2" t="s">
        <v>33</v>
      </c>
      <c r="B59" s="2" t="s">
        <v>35</v>
      </c>
      <c r="C59" s="3">
        <v>1</v>
      </c>
    </row>
    <row r="60" spans="1:6" x14ac:dyDescent="0.2">
      <c r="A60" s="2" t="s">
        <v>33</v>
      </c>
      <c r="B60" s="2" t="s">
        <v>36</v>
      </c>
      <c r="C60" s="3">
        <v>1</v>
      </c>
    </row>
    <row r="61" spans="1:6" x14ac:dyDescent="0.2">
      <c r="A61" s="2" t="s">
        <v>33</v>
      </c>
      <c r="B61" s="2" t="s">
        <v>37</v>
      </c>
      <c r="C61" s="3">
        <v>1</v>
      </c>
    </row>
    <row r="62" spans="1:6" x14ac:dyDescent="0.2">
      <c r="A62" s="2" t="s">
        <v>34</v>
      </c>
      <c r="B62" s="2" t="s">
        <v>35</v>
      </c>
      <c r="C62" s="3">
        <v>1</v>
      </c>
    </row>
    <row r="63" spans="1:6" x14ac:dyDescent="0.2">
      <c r="A63" s="2" t="s">
        <v>34</v>
      </c>
      <c r="B63" s="2" t="s">
        <v>36</v>
      </c>
      <c r="C63" s="3">
        <v>1</v>
      </c>
    </row>
    <row r="64" spans="1:6" x14ac:dyDescent="0.2">
      <c r="A64" s="2" t="s">
        <v>34</v>
      </c>
      <c r="B64" s="2" t="s">
        <v>37</v>
      </c>
      <c r="C64" s="3">
        <v>1</v>
      </c>
    </row>
    <row r="65" spans="1:7" x14ac:dyDescent="0.2">
      <c r="A65" s="2" t="s">
        <v>35</v>
      </c>
      <c r="B65" s="2" t="s">
        <v>36</v>
      </c>
      <c r="C65" s="3">
        <v>1</v>
      </c>
    </row>
    <row r="66" spans="1:7" x14ac:dyDescent="0.2">
      <c r="A66" s="2" t="s">
        <v>35</v>
      </c>
      <c r="B66" s="2" t="s">
        <v>37</v>
      </c>
      <c r="C66" s="3">
        <v>1</v>
      </c>
    </row>
    <row r="67" spans="1:7" x14ac:dyDescent="0.2">
      <c r="A67" s="2" t="s">
        <v>36</v>
      </c>
      <c r="B67" s="2" t="s">
        <v>37</v>
      </c>
      <c r="C67" s="3">
        <v>1</v>
      </c>
    </row>
    <row r="69" spans="1:7" x14ac:dyDescent="0.2">
      <c r="A69" s="24" t="s">
        <v>18</v>
      </c>
      <c r="B69" s="19"/>
      <c r="C69" s="19"/>
      <c r="D69" s="19"/>
      <c r="E69" s="19"/>
      <c r="F69" s="19"/>
    </row>
    <row r="70" spans="1:7" x14ac:dyDescent="0.2">
      <c r="B70" s="5" t="s">
        <v>32</v>
      </c>
      <c r="C70" s="5" t="s">
        <v>33</v>
      </c>
      <c r="D70" s="5" t="s">
        <v>34</v>
      </c>
      <c r="E70" s="5" t="s">
        <v>35</v>
      </c>
      <c r="F70" s="5" t="s">
        <v>36</v>
      </c>
      <c r="G70" s="5" t="s">
        <v>37</v>
      </c>
    </row>
    <row r="71" spans="1:7" x14ac:dyDescent="0.2">
      <c r="A71" s="6" t="s">
        <v>32</v>
      </c>
      <c r="B71" s="7">
        <f>1</f>
        <v>1</v>
      </c>
      <c r="C71" s="7">
        <f>IF(C53&gt;=0,IF(C53=0,1,C53),1/ABS(C53))</f>
        <v>1</v>
      </c>
      <c r="D71" s="7">
        <f>IF(C54&gt;=0,IF(C54=0,1,C54),1/ABS(C54))</f>
        <v>1</v>
      </c>
      <c r="E71" s="7">
        <f>IF(C55&gt;=0,IF(C55=0,1,C55),1/ABS(C55))</f>
        <v>1</v>
      </c>
      <c r="F71" s="7">
        <f>IF(C56&gt;=0,IF(C56=0,1,C56),1/ABS(C56))</f>
        <v>1</v>
      </c>
      <c r="G71" s="7">
        <f>IF(C57&gt;=0,IF(C57=0,1,C57),1/ABS(C57))</f>
        <v>1</v>
      </c>
    </row>
    <row r="72" spans="1:7" x14ac:dyDescent="0.2">
      <c r="A72" s="6" t="s">
        <v>33</v>
      </c>
      <c r="B72" s="7">
        <f>1/C71</f>
        <v>1</v>
      </c>
      <c r="C72" s="7">
        <f>1</f>
        <v>1</v>
      </c>
      <c r="D72" s="7">
        <f>IF(C58&gt;=0,IF(C58=0,1,C58),1/ABS(C58))</f>
        <v>1</v>
      </c>
      <c r="E72" s="7">
        <f>IF(C59&gt;=0,IF(C59=0,1,C59),1/ABS(C59))</f>
        <v>1</v>
      </c>
      <c r="F72" s="7">
        <f>IF(C60&gt;=0,IF(C60=0,1,C60),1/ABS(C60))</f>
        <v>1</v>
      </c>
      <c r="G72" s="7">
        <f>IF(C61&gt;=0,IF(C61=0,1,C61),1/ABS(C61))</f>
        <v>1</v>
      </c>
    </row>
    <row r="73" spans="1:7" x14ac:dyDescent="0.2">
      <c r="A73" s="6" t="s">
        <v>34</v>
      </c>
      <c r="B73" s="7">
        <f>1/D71</f>
        <v>1</v>
      </c>
      <c r="C73" s="7">
        <f>1/D72</f>
        <v>1</v>
      </c>
      <c r="D73" s="7">
        <f>1</f>
        <v>1</v>
      </c>
      <c r="E73" s="7">
        <f>IF(C62&gt;=0,IF(C62=0,1,C62),1/ABS(C62))</f>
        <v>1</v>
      </c>
      <c r="F73" s="7">
        <f>IF(C63&gt;=0,IF(C63=0,1,C63),1/ABS(C63))</f>
        <v>1</v>
      </c>
      <c r="G73" s="7">
        <f>IF(C64&gt;=0,IF(C64=0,1,C64),1/ABS(C64))</f>
        <v>1</v>
      </c>
    </row>
    <row r="74" spans="1:7" x14ac:dyDescent="0.2">
      <c r="A74" s="6" t="s">
        <v>35</v>
      </c>
      <c r="B74" s="7">
        <f>1/E71</f>
        <v>1</v>
      </c>
      <c r="C74" s="7">
        <f>1/E72</f>
        <v>1</v>
      </c>
      <c r="D74" s="7">
        <f>1/E73</f>
        <v>1</v>
      </c>
      <c r="E74" s="7">
        <f>1</f>
        <v>1</v>
      </c>
      <c r="F74" s="7">
        <f>IF(C65&gt;=0,IF(C65=0,1,C65),1/ABS(C65))</f>
        <v>1</v>
      </c>
      <c r="G74" s="7">
        <f>IF(C66&gt;=0,IF(C66=0,1,C66),1/ABS(C66))</f>
        <v>1</v>
      </c>
    </row>
    <row r="75" spans="1:7" x14ac:dyDescent="0.2">
      <c r="A75" s="6" t="s">
        <v>36</v>
      </c>
      <c r="B75" s="7">
        <f>1/F71</f>
        <v>1</v>
      </c>
      <c r="C75" s="7">
        <f>1/F72</f>
        <v>1</v>
      </c>
      <c r="D75" s="7">
        <f>1/F73</f>
        <v>1</v>
      </c>
      <c r="E75" s="7">
        <f>1/F74</f>
        <v>1</v>
      </c>
      <c r="F75" s="7">
        <f>1</f>
        <v>1</v>
      </c>
      <c r="G75" s="7">
        <f>IF(C67&gt;=0,IF(C67=0,1,C67),1/ABS(C67))</f>
        <v>1</v>
      </c>
    </row>
    <row r="76" spans="1:7" x14ac:dyDescent="0.2">
      <c r="A76" s="6" t="s">
        <v>37</v>
      </c>
      <c r="B76" s="7">
        <f>1/G71</f>
        <v>1</v>
      </c>
      <c r="C76" s="7">
        <f>1/G72</f>
        <v>1</v>
      </c>
      <c r="D76" s="7">
        <f>1/G73</f>
        <v>1</v>
      </c>
      <c r="E76" s="7">
        <f>1/G74</f>
        <v>1</v>
      </c>
      <c r="F76" s="7">
        <f>1/G75</f>
        <v>1</v>
      </c>
      <c r="G76" s="7">
        <f>1</f>
        <v>1</v>
      </c>
    </row>
    <row r="78" spans="1:7" x14ac:dyDescent="0.2">
      <c r="A78" s="8" t="s">
        <v>19</v>
      </c>
      <c r="B78" s="7">
        <f t="shared" ref="B78:G78" si="1">SUM(B71:B76)</f>
        <v>6</v>
      </c>
      <c r="C78" s="7">
        <f t="shared" si="1"/>
        <v>6</v>
      </c>
      <c r="D78" s="7">
        <f t="shared" si="1"/>
        <v>6</v>
      </c>
      <c r="E78" s="7">
        <f t="shared" si="1"/>
        <v>6</v>
      </c>
      <c r="F78" s="7">
        <f t="shared" si="1"/>
        <v>6</v>
      </c>
      <c r="G78" s="7">
        <f t="shared" si="1"/>
        <v>6</v>
      </c>
    </row>
    <row r="80" spans="1:7" x14ac:dyDescent="0.2">
      <c r="A80" s="4" t="s">
        <v>20</v>
      </c>
    </row>
    <row r="81" spans="1:2" x14ac:dyDescent="0.2">
      <c r="A81" s="5" t="s">
        <v>21</v>
      </c>
      <c r="B81" s="5" t="s">
        <v>22</v>
      </c>
    </row>
    <row r="82" spans="1:2" x14ac:dyDescent="0.2">
      <c r="A82" s="2" t="s">
        <v>32</v>
      </c>
      <c r="B82" s="9">
        <f>AVERAGE(B71/B78,C71/C78,D71/D78,E71/E78,F71/F78,G71/G78)</f>
        <v>0.16666666666666666</v>
      </c>
    </row>
    <row r="83" spans="1:2" x14ac:dyDescent="0.2">
      <c r="A83" s="2" t="s">
        <v>33</v>
      </c>
      <c r="B83" s="9">
        <f>AVERAGE(B72/B78,C72/C78,D72/D78,E72/E78,F72/F78,G72/G78)</f>
        <v>0.16666666666666666</v>
      </c>
    </row>
    <row r="84" spans="1:2" x14ac:dyDescent="0.2">
      <c r="A84" s="2" t="s">
        <v>34</v>
      </c>
      <c r="B84" s="9">
        <f>AVERAGE(B73/B78,C73/C78,D73/D78,E73/E78,F73/F78,G73/G78)</f>
        <v>0.16666666666666666</v>
      </c>
    </row>
    <row r="85" spans="1:2" x14ac:dyDescent="0.2">
      <c r="A85" s="2" t="s">
        <v>35</v>
      </c>
      <c r="B85" s="9">
        <f>AVERAGE(B74/B78,C74/C78,D74/D78,E74/E78,F74/F78,G74/G78)</f>
        <v>0.16666666666666666</v>
      </c>
    </row>
    <row r="86" spans="1:2" x14ac:dyDescent="0.2">
      <c r="A86" s="2" t="s">
        <v>36</v>
      </c>
      <c r="B86" s="9">
        <f>AVERAGE(B75/B78,C75/C78,D75/D78,E75/E78,F75/F78,G75/G78)</f>
        <v>0.16666666666666666</v>
      </c>
    </row>
    <row r="87" spans="1:2" x14ac:dyDescent="0.2">
      <c r="A87" s="2" t="s">
        <v>37</v>
      </c>
      <c r="B87" s="9">
        <f>AVERAGE(B76/B78,C76/C78,D76/D78,E76/E78,F76/F78,G76/G78)</f>
        <v>0.16666666666666666</v>
      </c>
    </row>
    <row r="89" spans="1:2" x14ac:dyDescent="0.2">
      <c r="A89" s="4" t="s">
        <v>23</v>
      </c>
    </row>
    <row r="90" spans="1:2" x14ac:dyDescent="0.2">
      <c r="A90" t="s">
        <v>24</v>
      </c>
      <c r="B90" s="10">
        <f>AVERAGE(((B71*B82+C71*B83+D71*B84+E71*B85+F71*B86+G71*B87)/B82),((B72*B82+C72*B83+D72*B84+E72*B85+F72*B86+G72*B87)/B83),((B73*B82+C73*B83+D73*B84+E73*B85+F73*B86+G73*B87)/B84),((B74*B82+C74*B83+D74*B84+E74*B85+F74*B86+G74*B87)/B85),((B75*B82+C75*B83+D75*B84+E75*B85+F75*B86+G75*B87)/B86),((B76*B82+C76*B83+D76*B84+E76*B85+F76*B86+G76*B87)/B87))</f>
        <v>6</v>
      </c>
    </row>
    <row r="91" spans="1:2" x14ac:dyDescent="0.2">
      <c r="A91" t="s">
        <v>25</v>
      </c>
      <c r="B91" s="10">
        <f>(B90-6)/5</f>
        <v>0</v>
      </c>
    </row>
    <row r="92" spans="1:2" x14ac:dyDescent="0.2">
      <c r="A92" t="s">
        <v>38</v>
      </c>
      <c r="B92" s="11">
        <v>1.24</v>
      </c>
    </row>
    <row r="93" spans="1:2" x14ac:dyDescent="0.2">
      <c r="A93" s="12" t="s">
        <v>27</v>
      </c>
      <c r="B93" s="13">
        <f>IF(B92=0,0,B91/B92)</f>
        <v>0</v>
      </c>
    </row>
    <row r="94" spans="1:2" x14ac:dyDescent="0.2">
      <c r="A94" s="12" t="s">
        <v>28</v>
      </c>
      <c r="B94" s="6" t="str">
        <f>IF(B93&lt;0.1,"✓ PASS","✗ FAIL — revise judgements")</f>
        <v>✓ PASS</v>
      </c>
    </row>
    <row r="97" spans="1:6" ht="20" customHeight="1" x14ac:dyDescent="0.2">
      <c r="A97" s="21" t="s">
        <v>41</v>
      </c>
      <c r="B97" s="19"/>
      <c r="C97" s="19"/>
      <c r="D97" s="19"/>
      <c r="E97" s="19"/>
      <c r="F97" s="19"/>
    </row>
    <row r="98" spans="1:6" ht="28" customHeight="1" x14ac:dyDescent="0.2">
      <c r="A98" s="23" t="s">
        <v>42</v>
      </c>
      <c r="B98" s="19"/>
      <c r="C98" s="19"/>
      <c r="D98" s="19"/>
      <c r="E98" s="19"/>
      <c r="F98" s="19"/>
    </row>
    <row r="99" spans="1:6" ht="48" customHeight="1" x14ac:dyDescent="0.2">
      <c r="A99" s="1" t="s">
        <v>12</v>
      </c>
      <c r="B99" s="1" t="s">
        <v>13</v>
      </c>
      <c r="C99" s="1" t="s">
        <v>14</v>
      </c>
    </row>
    <row r="100" spans="1:6" x14ac:dyDescent="0.2">
      <c r="A100" s="2" t="s">
        <v>32</v>
      </c>
      <c r="B100" s="2" t="s">
        <v>33</v>
      </c>
      <c r="C100" s="3">
        <v>1</v>
      </c>
    </row>
    <row r="101" spans="1:6" x14ac:dyDescent="0.2">
      <c r="A101" s="2" t="s">
        <v>32</v>
      </c>
      <c r="B101" s="2" t="s">
        <v>34</v>
      </c>
      <c r="C101" s="3">
        <v>1</v>
      </c>
    </row>
    <row r="102" spans="1:6" x14ac:dyDescent="0.2">
      <c r="A102" s="2" t="s">
        <v>32</v>
      </c>
      <c r="B102" s="2" t="s">
        <v>35</v>
      </c>
      <c r="C102" s="3">
        <v>1</v>
      </c>
    </row>
    <row r="103" spans="1:6" x14ac:dyDescent="0.2">
      <c r="A103" s="2" t="s">
        <v>32</v>
      </c>
      <c r="B103" s="2" t="s">
        <v>36</v>
      </c>
      <c r="C103" s="3">
        <v>1</v>
      </c>
    </row>
    <row r="104" spans="1:6" x14ac:dyDescent="0.2">
      <c r="A104" s="2" t="s">
        <v>32</v>
      </c>
      <c r="B104" s="2" t="s">
        <v>37</v>
      </c>
      <c r="C104" s="3">
        <v>1</v>
      </c>
    </row>
    <row r="105" spans="1:6" x14ac:dyDescent="0.2">
      <c r="A105" s="2" t="s">
        <v>33</v>
      </c>
      <c r="B105" s="2" t="s">
        <v>34</v>
      </c>
      <c r="C105" s="3">
        <v>1</v>
      </c>
    </row>
    <row r="106" spans="1:6" x14ac:dyDescent="0.2">
      <c r="A106" s="2" t="s">
        <v>33</v>
      </c>
      <c r="B106" s="2" t="s">
        <v>35</v>
      </c>
      <c r="C106" s="3">
        <v>1</v>
      </c>
    </row>
    <row r="107" spans="1:6" x14ac:dyDescent="0.2">
      <c r="A107" s="2" t="s">
        <v>33</v>
      </c>
      <c r="B107" s="2" t="s">
        <v>36</v>
      </c>
      <c r="C107" s="3">
        <v>1</v>
      </c>
    </row>
    <row r="108" spans="1:6" x14ac:dyDescent="0.2">
      <c r="A108" s="2" t="s">
        <v>33</v>
      </c>
      <c r="B108" s="2" t="s">
        <v>37</v>
      </c>
      <c r="C108" s="3">
        <v>1</v>
      </c>
    </row>
    <row r="109" spans="1:6" x14ac:dyDescent="0.2">
      <c r="A109" s="2" t="s">
        <v>34</v>
      </c>
      <c r="B109" s="2" t="s">
        <v>35</v>
      </c>
      <c r="C109" s="3">
        <v>1</v>
      </c>
    </row>
    <row r="110" spans="1:6" x14ac:dyDescent="0.2">
      <c r="A110" s="2" t="s">
        <v>34</v>
      </c>
      <c r="B110" s="2" t="s">
        <v>36</v>
      </c>
      <c r="C110" s="3">
        <v>1</v>
      </c>
    </row>
    <row r="111" spans="1:6" x14ac:dyDescent="0.2">
      <c r="A111" s="2" t="s">
        <v>34</v>
      </c>
      <c r="B111" s="2" t="s">
        <v>37</v>
      </c>
      <c r="C111" s="3">
        <v>1</v>
      </c>
    </row>
    <row r="112" spans="1:6" x14ac:dyDescent="0.2">
      <c r="A112" s="2" t="s">
        <v>35</v>
      </c>
      <c r="B112" s="2" t="s">
        <v>36</v>
      </c>
      <c r="C112" s="3">
        <v>1</v>
      </c>
    </row>
    <row r="113" spans="1:7" x14ac:dyDescent="0.2">
      <c r="A113" s="2" t="s">
        <v>35</v>
      </c>
      <c r="B113" s="2" t="s">
        <v>37</v>
      </c>
      <c r="C113" s="3">
        <v>1</v>
      </c>
    </row>
    <row r="114" spans="1:7" x14ac:dyDescent="0.2">
      <c r="A114" s="2" t="s">
        <v>36</v>
      </c>
      <c r="B114" s="2" t="s">
        <v>37</v>
      </c>
      <c r="C114" s="3">
        <v>1</v>
      </c>
    </row>
    <row r="116" spans="1:7" x14ac:dyDescent="0.2">
      <c r="A116" s="24" t="s">
        <v>18</v>
      </c>
      <c r="B116" s="19"/>
      <c r="C116" s="19"/>
      <c r="D116" s="19"/>
      <c r="E116" s="19"/>
      <c r="F116" s="19"/>
    </row>
    <row r="117" spans="1:7" x14ac:dyDescent="0.2">
      <c r="B117" s="5" t="s">
        <v>32</v>
      </c>
      <c r="C117" s="5" t="s">
        <v>33</v>
      </c>
      <c r="D117" s="5" t="s">
        <v>34</v>
      </c>
      <c r="E117" s="5" t="s">
        <v>35</v>
      </c>
      <c r="F117" s="5" t="s">
        <v>36</v>
      </c>
      <c r="G117" s="5" t="s">
        <v>37</v>
      </c>
    </row>
    <row r="118" spans="1:7" x14ac:dyDescent="0.2">
      <c r="A118" s="6" t="s">
        <v>32</v>
      </c>
      <c r="B118" s="7">
        <f>1</f>
        <v>1</v>
      </c>
      <c r="C118" s="7">
        <f>IF(C100&gt;=0,IF(C100=0,1,C100),1/ABS(C100))</f>
        <v>1</v>
      </c>
      <c r="D118" s="7">
        <f>IF(C101&gt;=0,IF(C101=0,1,C101),1/ABS(C101))</f>
        <v>1</v>
      </c>
      <c r="E118" s="7">
        <f>IF(C102&gt;=0,IF(C102=0,1,C102),1/ABS(C102))</f>
        <v>1</v>
      </c>
      <c r="F118" s="7">
        <f>IF(C103&gt;=0,IF(C103=0,1,C103),1/ABS(C103))</f>
        <v>1</v>
      </c>
      <c r="G118" s="7">
        <f>IF(C104&gt;=0,IF(C104=0,1,C104),1/ABS(C104))</f>
        <v>1</v>
      </c>
    </row>
    <row r="119" spans="1:7" x14ac:dyDescent="0.2">
      <c r="A119" s="6" t="s">
        <v>33</v>
      </c>
      <c r="B119" s="7">
        <f>1/C118</f>
        <v>1</v>
      </c>
      <c r="C119" s="7">
        <f>1</f>
        <v>1</v>
      </c>
      <c r="D119" s="7">
        <f>IF(C105&gt;=0,IF(C105=0,1,C105),1/ABS(C105))</f>
        <v>1</v>
      </c>
      <c r="E119" s="7">
        <f>IF(C106&gt;=0,IF(C106=0,1,C106),1/ABS(C106))</f>
        <v>1</v>
      </c>
      <c r="F119" s="7">
        <f>IF(C107&gt;=0,IF(C107=0,1,C107),1/ABS(C107))</f>
        <v>1</v>
      </c>
      <c r="G119" s="7">
        <f>IF(C108&gt;=0,IF(C108=0,1,C108),1/ABS(C108))</f>
        <v>1</v>
      </c>
    </row>
    <row r="120" spans="1:7" x14ac:dyDescent="0.2">
      <c r="A120" s="6" t="s">
        <v>34</v>
      </c>
      <c r="B120" s="7">
        <f>1/D118</f>
        <v>1</v>
      </c>
      <c r="C120" s="7">
        <f>1/D119</f>
        <v>1</v>
      </c>
      <c r="D120" s="7">
        <f>1</f>
        <v>1</v>
      </c>
      <c r="E120" s="7">
        <f>IF(C109&gt;=0,IF(C109=0,1,C109),1/ABS(C109))</f>
        <v>1</v>
      </c>
      <c r="F120" s="7">
        <f>IF(C110&gt;=0,IF(C110=0,1,C110),1/ABS(C110))</f>
        <v>1</v>
      </c>
      <c r="G120" s="7">
        <f>IF(C111&gt;=0,IF(C111=0,1,C111),1/ABS(C111))</f>
        <v>1</v>
      </c>
    </row>
    <row r="121" spans="1:7" x14ac:dyDescent="0.2">
      <c r="A121" s="6" t="s">
        <v>35</v>
      </c>
      <c r="B121" s="7">
        <f>1/E118</f>
        <v>1</v>
      </c>
      <c r="C121" s="7">
        <f>1/E119</f>
        <v>1</v>
      </c>
      <c r="D121" s="7">
        <f>1/E120</f>
        <v>1</v>
      </c>
      <c r="E121" s="7">
        <f>1</f>
        <v>1</v>
      </c>
      <c r="F121" s="7">
        <f>IF(C112&gt;=0,IF(C112=0,1,C112),1/ABS(C112))</f>
        <v>1</v>
      </c>
      <c r="G121" s="7">
        <f>IF(C113&gt;=0,IF(C113=0,1,C113),1/ABS(C113))</f>
        <v>1</v>
      </c>
    </row>
    <row r="122" spans="1:7" x14ac:dyDescent="0.2">
      <c r="A122" s="6" t="s">
        <v>36</v>
      </c>
      <c r="B122" s="7">
        <f>1/F118</f>
        <v>1</v>
      </c>
      <c r="C122" s="7">
        <f>1/F119</f>
        <v>1</v>
      </c>
      <c r="D122" s="7">
        <f>1/F120</f>
        <v>1</v>
      </c>
      <c r="E122" s="7">
        <f>1/F121</f>
        <v>1</v>
      </c>
      <c r="F122" s="7">
        <f>1</f>
        <v>1</v>
      </c>
      <c r="G122" s="7">
        <f>IF(C114&gt;=0,IF(C114=0,1,C114),1/ABS(C114))</f>
        <v>1</v>
      </c>
    </row>
    <row r="123" spans="1:7" x14ac:dyDescent="0.2">
      <c r="A123" s="6" t="s">
        <v>37</v>
      </c>
      <c r="B123" s="7">
        <f>1/G118</f>
        <v>1</v>
      </c>
      <c r="C123" s="7">
        <f>1/G119</f>
        <v>1</v>
      </c>
      <c r="D123" s="7">
        <f>1/G120</f>
        <v>1</v>
      </c>
      <c r="E123" s="7">
        <f>1/G121</f>
        <v>1</v>
      </c>
      <c r="F123" s="7">
        <f>1/G122</f>
        <v>1</v>
      </c>
      <c r="G123" s="7">
        <f>1</f>
        <v>1</v>
      </c>
    </row>
    <row r="125" spans="1:7" x14ac:dyDescent="0.2">
      <c r="A125" s="8" t="s">
        <v>19</v>
      </c>
      <c r="B125" s="7">
        <f t="shared" ref="B125:G125" si="2">SUM(B118:B123)</f>
        <v>6</v>
      </c>
      <c r="C125" s="7">
        <f t="shared" si="2"/>
        <v>6</v>
      </c>
      <c r="D125" s="7">
        <f t="shared" si="2"/>
        <v>6</v>
      </c>
      <c r="E125" s="7">
        <f t="shared" si="2"/>
        <v>6</v>
      </c>
      <c r="F125" s="7">
        <f t="shared" si="2"/>
        <v>6</v>
      </c>
      <c r="G125" s="7">
        <f t="shared" si="2"/>
        <v>6</v>
      </c>
    </row>
    <row r="127" spans="1:7" x14ac:dyDescent="0.2">
      <c r="A127" s="4" t="s">
        <v>20</v>
      </c>
    </row>
    <row r="128" spans="1:7" x14ac:dyDescent="0.2">
      <c r="A128" s="5" t="s">
        <v>21</v>
      </c>
      <c r="B128" s="5" t="s">
        <v>22</v>
      </c>
    </row>
    <row r="129" spans="1:2" x14ac:dyDescent="0.2">
      <c r="A129" s="2" t="s">
        <v>32</v>
      </c>
      <c r="B129" s="9">
        <f>AVERAGE(B118/B125,C118/C125,D118/D125,E118/E125,F118/F125,G118/G125)</f>
        <v>0.16666666666666666</v>
      </c>
    </row>
    <row r="130" spans="1:2" x14ac:dyDescent="0.2">
      <c r="A130" s="2" t="s">
        <v>33</v>
      </c>
      <c r="B130" s="9">
        <f>AVERAGE(B119/B125,C119/C125,D119/D125,E119/E125,F119/F125,G119/G125)</f>
        <v>0.16666666666666666</v>
      </c>
    </row>
    <row r="131" spans="1:2" x14ac:dyDescent="0.2">
      <c r="A131" s="2" t="s">
        <v>34</v>
      </c>
      <c r="B131" s="9">
        <f>AVERAGE(B120/B125,C120/C125,D120/D125,E120/E125,F120/F125,G120/G125)</f>
        <v>0.16666666666666666</v>
      </c>
    </row>
    <row r="132" spans="1:2" x14ac:dyDescent="0.2">
      <c r="A132" s="2" t="s">
        <v>35</v>
      </c>
      <c r="B132" s="9">
        <f>AVERAGE(B121/B125,C121/C125,D121/D125,E121/E125,F121/F125,G121/G125)</f>
        <v>0.16666666666666666</v>
      </c>
    </row>
    <row r="133" spans="1:2" x14ac:dyDescent="0.2">
      <c r="A133" s="2" t="s">
        <v>36</v>
      </c>
      <c r="B133" s="9">
        <f>AVERAGE(B122/B125,C122/C125,D122/D125,E122/E125,F122/F125,G122/G125)</f>
        <v>0.16666666666666666</v>
      </c>
    </row>
    <row r="134" spans="1:2" x14ac:dyDescent="0.2">
      <c r="A134" s="2" t="s">
        <v>37</v>
      </c>
      <c r="B134" s="9">
        <f>AVERAGE(B123/B125,C123/C125,D123/D125,E123/E125,F123/F125,G123/G125)</f>
        <v>0.16666666666666666</v>
      </c>
    </row>
    <row r="136" spans="1:2" x14ac:dyDescent="0.2">
      <c r="A136" s="4" t="s">
        <v>23</v>
      </c>
    </row>
    <row r="137" spans="1:2" x14ac:dyDescent="0.2">
      <c r="A137" t="s">
        <v>24</v>
      </c>
      <c r="B137" s="10">
        <f>AVERAGE(((B118*B129+C118*B130+D118*B131+E118*B132+F118*B133+G118*B134)/B129),((B119*B129+C119*B130+D119*B131+E119*B132+F119*B133+G119*B134)/B130),((B120*B129+C120*B130+D120*B131+E120*B132+F120*B133+G120*B134)/B131),((B121*B129+C121*B130+D121*B131+E121*B132+F121*B133+G121*B134)/B132),((B122*B129+C122*B130+D122*B131+E122*B132+F122*B133+G122*B134)/B133),((B123*B129+C123*B130+D123*B131+E123*B132+F123*B133+G123*B134)/B134))</f>
        <v>6</v>
      </c>
    </row>
    <row r="138" spans="1:2" x14ac:dyDescent="0.2">
      <c r="A138" t="s">
        <v>25</v>
      </c>
      <c r="B138" s="10">
        <f>(B137-6)/5</f>
        <v>0</v>
      </c>
    </row>
    <row r="139" spans="1:2" x14ac:dyDescent="0.2">
      <c r="A139" t="s">
        <v>38</v>
      </c>
      <c r="B139" s="11">
        <v>1.24</v>
      </c>
    </row>
    <row r="140" spans="1:2" x14ac:dyDescent="0.2">
      <c r="A140" s="12" t="s">
        <v>27</v>
      </c>
      <c r="B140" s="13">
        <f>IF(B139=0,0,B138/B139)</f>
        <v>0</v>
      </c>
    </row>
    <row r="141" spans="1:2" x14ac:dyDescent="0.2">
      <c r="A141" s="12" t="s">
        <v>28</v>
      </c>
      <c r="B141" s="6" t="str">
        <f>IF(B140&lt;0.1,"✓ PASS","✗ FAIL — revise judgements")</f>
        <v>✓ PASS</v>
      </c>
    </row>
  </sheetData>
  <mergeCells count="10">
    <mergeCell ref="A51:F51"/>
    <mergeCell ref="A98:F98"/>
    <mergeCell ref="A116:F116"/>
    <mergeCell ref="A1:F1"/>
    <mergeCell ref="A22:F22"/>
    <mergeCell ref="A97:F97"/>
    <mergeCell ref="A50:F50"/>
    <mergeCell ref="A4:F4"/>
    <mergeCell ref="A3:F3"/>
    <mergeCell ref="A69:F6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1"/>
  <sheetViews>
    <sheetView topLeftCell="A119" workbookViewId="0">
      <selection sqref="A1:F1"/>
    </sheetView>
  </sheetViews>
  <sheetFormatPr baseColWidth="10" defaultColWidth="8.83203125" defaultRowHeight="15" x14ac:dyDescent="0.2"/>
  <cols>
    <col min="1" max="1" width="16" customWidth="1"/>
    <col min="2" max="2" width="14" customWidth="1"/>
    <col min="3" max="3" width="30" customWidth="1"/>
    <col min="4" max="7" width="14" customWidth="1"/>
  </cols>
  <sheetData>
    <row r="1" spans="1:6" ht="28" customHeight="1" x14ac:dyDescent="0.2">
      <c r="A1" s="22" t="s">
        <v>43</v>
      </c>
      <c r="B1" s="19"/>
      <c r="C1" s="19"/>
      <c r="D1" s="19"/>
      <c r="E1" s="19"/>
      <c r="F1" s="19"/>
    </row>
    <row r="3" spans="1:6" ht="20" customHeight="1" x14ac:dyDescent="0.2">
      <c r="A3" s="21" t="s">
        <v>30</v>
      </c>
      <c r="B3" s="19"/>
      <c r="C3" s="19"/>
      <c r="D3" s="19"/>
      <c r="E3" s="19"/>
      <c r="F3" s="19"/>
    </row>
    <row r="4" spans="1:6" ht="28" customHeight="1" x14ac:dyDescent="0.2">
      <c r="A4" s="23" t="s">
        <v>44</v>
      </c>
      <c r="B4" s="19"/>
      <c r="C4" s="19"/>
      <c r="D4" s="19"/>
      <c r="E4" s="19"/>
      <c r="F4" s="19"/>
    </row>
    <row r="5" spans="1:6" ht="47" customHeight="1" x14ac:dyDescent="0.2">
      <c r="A5" s="1" t="s">
        <v>12</v>
      </c>
      <c r="B5" s="1" t="s">
        <v>13</v>
      </c>
      <c r="C5" s="1" t="s">
        <v>14</v>
      </c>
    </row>
    <row r="6" spans="1:6" x14ac:dyDescent="0.2">
      <c r="A6" s="2" t="s">
        <v>32</v>
      </c>
      <c r="B6" s="2" t="s">
        <v>33</v>
      </c>
      <c r="C6" s="3">
        <v>1</v>
      </c>
    </row>
    <row r="7" spans="1:6" x14ac:dyDescent="0.2">
      <c r="A7" s="2" t="s">
        <v>32</v>
      </c>
      <c r="B7" s="2" t="s">
        <v>34</v>
      </c>
      <c r="C7" s="3">
        <v>1</v>
      </c>
    </row>
    <row r="8" spans="1:6" x14ac:dyDescent="0.2">
      <c r="A8" s="2" t="s">
        <v>32</v>
      </c>
      <c r="B8" s="2" t="s">
        <v>35</v>
      </c>
      <c r="C8" s="3">
        <v>1</v>
      </c>
    </row>
    <row r="9" spans="1:6" x14ac:dyDescent="0.2">
      <c r="A9" s="2" t="s">
        <v>32</v>
      </c>
      <c r="B9" s="2" t="s">
        <v>36</v>
      </c>
      <c r="C9" s="3">
        <v>1</v>
      </c>
    </row>
    <row r="10" spans="1:6" x14ac:dyDescent="0.2">
      <c r="A10" s="2" t="s">
        <v>32</v>
      </c>
      <c r="B10" s="2" t="s">
        <v>37</v>
      </c>
      <c r="C10" s="3">
        <v>1</v>
      </c>
    </row>
    <row r="11" spans="1:6" x14ac:dyDescent="0.2">
      <c r="A11" s="2" t="s">
        <v>33</v>
      </c>
      <c r="B11" s="2" t="s">
        <v>34</v>
      </c>
      <c r="C11" s="3">
        <v>1</v>
      </c>
    </row>
    <row r="12" spans="1:6" x14ac:dyDescent="0.2">
      <c r="A12" s="2" t="s">
        <v>33</v>
      </c>
      <c r="B12" s="2" t="s">
        <v>35</v>
      </c>
      <c r="C12" s="3">
        <v>1</v>
      </c>
    </row>
    <row r="13" spans="1:6" x14ac:dyDescent="0.2">
      <c r="A13" s="2" t="s">
        <v>33</v>
      </c>
      <c r="B13" s="2" t="s">
        <v>36</v>
      </c>
      <c r="C13" s="3">
        <v>1</v>
      </c>
    </row>
    <row r="14" spans="1:6" x14ac:dyDescent="0.2">
      <c r="A14" s="2" t="s">
        <v>33</v>
      </c>
      <c r="B14" s="2" t="s">
        <v>37</v>
      </c>
      <c r="C14" s="3">
        <v>1</v>
      </c>
    </row>
    <row r="15" spans="1:6" x14ac:dyDescent="0.2">
      <c r="A15" s="2" t="s">
        <v>34</v>
      </c>
      <c r="B15" s="2" t="s">
        <v>35</v>
      </c>
      <c r="C15" s="3">
        <v>1</v>
      </c>
    </row>
    <row r="16" spans="1:6" x14ac:dyDescent="0.2">
      <c r="A16" s="2" t="s">
        <v>34</v>
      </c>
      <c r="B16" s="2" t="s">
        <v>36</v>
      </c>
      <c r="C16" s="3">
        <v>1</v>
      </c>
    </row>
    <row r="17" spans="1:7" x14ac:dyDescent="0.2">
      <c r="A17" s="2" t="s">
        <v>34</v>
      </c>
      <c r="B17" s="2" t="s">
        <v>37</v>
      </c>
      <c r="C17" s="3">
        <v>1</v>
      </c>
    </row>
    <row r="18" spans="1:7" x14ac:dyDescent="0.2">
      <c r="A18" s="2" t="s">
        <v>35</v>
      </c>
      <c r="B18" s="2" t="s">
        <v>36</v>
      </c>
      <c r="C18" s="3">
        <v>1</v>
      </c>
    </row>
    <row r="19" spans="1:7" x14ac:dyDescent="0.2">
      <c r="A19" s="2" t="s">
        <v>35</v>
      </c>
      <c r="B19" s="2" t="s">
        <v>37</v>
      </c>
      <c r="C19" s="3">
        <v>1</v>
      </c>
    </row>
    <row r="20" spans="1:7" x14ac:dyDescent="0.2">
      <c r="A20" s="2" t="s">
        <v>36</v>
      </c>
      <c r="B20" s="2" t="s">
        <v>37</v>
      </c>
      <c r="C20" s="3">
        <v>1</v>
      </c>
    </row>
    <row r="22" spans="1:7" x14ac:dyDescent="0.2">
      <c r="A22" s="24" t="s">
        <v>18</v>
      </c>
      <c r="B22" s="19"/>
      <c r="C22" s="19"/>
      <c r="D22" s="19"/>
      <c r="E22" s="19"/>
      <c r="F22" s="19"/>
    </row>
    <row r="23" spans="1:7" x14ac:dyDescent="0.2">
      <c r="B23" s="5" t="s">
        <v>32</v>
      </c>
      <c r="C23" s="5" t="s">
        <v>33</v>
      </c>
      <c r="D23" s="5" t="s">
        <v>34</v>
      </c>
      <c r="E23" s="5" t="s">
        <v>35</v>
      </c>
      <c r="F23" s="5" t="s">
        <v>36</v>
      </c>
      <c r="G23" s="5" t="s">
        <v>37</v>
      </c>
    </row>
    <row r="24" spans="1:7" x14ac:dyDescent="0.2">
      <c r="A24" s="6" t="s">
        <v>32</v>
      </c>
      <c r="B24" s="7">
        <f>1</f>
        <v>1</v>
      </c>
      <c r="C24" s="7">
        <f>IF(C6&gt;=0,IF(C6=0,1,C6),1/ABS(C6))</f>
        <v>1</v>
      </c>
      <c r="D24" s="7">
        <f>IF(C7&gt;=0,IF(C7=0,1,C7),1/ABS(C7))</f>
        <v>1</v>
      </c>
      <c r="E24" s="7">
        <f>IF(C8&gt;=0,IF(C8=0,1,C8),1/ABS(C8))</f>
        <v>1</v>
      </c>
      <c r="F24" s="7">
        <f>IF(C9&gt;=0,IF(C9=0,1,C9),1/ABS(C9))</f>
        <v>1</v>
      </c>
      <c r="G24" s="7">
        <f>IF(C10&gt;=0,IF(C10=0,1,C10),1/ABS(C10))</f>
        <v>1</v>
      </c>
    </row>
    <row r="25" spans="1:7" x14ac:dyDescent="0.2">
      <c r="A25" s="6" t="s">
        <v>33</v>
      </c>
      <c r="B25" s="7">
        <f>1/C24</f>
        <v>1</v>
      </c>
      <c r="C25" s="7">
        <f>1</f>
        <v>1</v>
      </c>
      <c r="D25" s="7">
        <f>IF(C11&gt;=0,IF(C11=0,1,C11),1/ABS(C11))</f>
        <v>1</v>
      </c>
      <c r="E25" s="7">
        <f>IF(C12&gt;=0,IF(C12=0,1,C12),1/ABS(C12))</f>
        <v>1</v>
      </c>
      <c r="F25" s="7">
        <f>IF(C13&gt;=0,IF(C13=0,1,C13),1/ABS(C13))</f>
        <v>1</v>
      </c>
      <c r="G25" s="7">
        <f>IF(C14&gt;=0,IF(C14=0,1,C14),1/ABS(C14))</f>
        <v>1</v>
      </c>
    </row>
    <row r="26" spans="1:7" x14ac:dyDescent="0.2">
      <c r="A26" s="6" t="s">
        <v>34</v>
      </c>
      <c r="B26" s="7">
        <f>1/D24</f>
        <v>1</v>
      </c>
      <c r="C26" s="7">
        <f>1/D25</f>
        <v>1</v>
      </c>
      <c r="D26" s="7">
        <f>1</f>
        <v>1</v>
      </c>
      <c r="E26" s="7">
        <f>IF(C15&gt;=0,IF(C15=0,1,C15),1/ABS(C15))</f>
        <v>1</v>
      </c>
      <c r="F26" s="7">
        <f>IF(C16&gt;=0,IF(C16=0,1,C16),1/ABS(C16))</f>
        <v>1</v>
      </c>
      <c r="G26" s="7">
        <f>IF(C17&gt;=0,IF(C17=0,1,C17),1/ABS(C17))</f>
        <v>1</v>
      </c>
    </row>
    <row r="27" spans="1:7" x14ac:dyDescent="0.2">
      <c r="A27" s="6" t="s">
        <v>35</v>
      </c>
      <c r="B27" s="7">
        <f>1/E24</f>
        <v>1</v>
      </c>
      <c r="C27" s="7">
        <f>1/E25</f>
        <v>1</v>
      </c>
      <c r="D27" s="7">
        <f>1/E26</f>
        <v>1</v>
      </c>
      <c r="E27" s="7">
        <f>1</f>
        <v>1</v>
      </c>
      <c r="F27" s="7">
        <f>IF(C18&gt;=0,IF(C18=0,1,C18),1/ABS(C18))</f>
        <v>1</v>
      </c>
      <c r="G27" s="7">
        <f>IF(C19&gt;=0,IF(C19=0,1,C19),1/ABS(C19))</f>
        <v>1</v>
      </c>
    </row>
    <row r="28" spans="1:7" x14ac:dyDescent="0.2">
      <c r="A28" s="6" t="s">
        <v>36</v>
      </c>
      <c r="B28" s="7">
        <f>1/F24</f>
        <v>1</v>
      </c>
      <c r="C28" s="7">
        <f>1/F25</f>
        <v>1</v>
      </c>
      <c r="D28" s="7">
        <f>1/F26</f>
        <v>1</v>
      </c>
      <c r="E28" s="7">
        <f>1/F27</f>
        <v>1</v>
      </c>
      <c r="F28" s="7">
        <f>1</f>
        <v>1</v>
      </c>
      <c r="G28" s="7">
        <f>IF(C20&gt;=0,IF(C20=0,1,C20),1/ABS(C20))</f>
        <v>1</v>
      </c>
    </row>
    <row r="29" spans="1:7" x14ac:dyDescent="0.2">
      <c r="A29" s="6" t="s">
        <v>37</v>
      </c>
      <c r="B29" s="7">
        <f>1/G24</f>
        <v>1</v>
      </c>
      <c r="C29" s="7">
        <f>1/G25</f>
        <v>1</v>
      </c>
      <c r="D29" s="7">
        <f>1/G26</f>
        <v>1</v>
      </c>
      <c r="E29" s="7">
        <f>1/G27</f>
        <v>1</v>
      </c>
      <c r="F29" s="7">
        <f>1/G28</f>
        <v>1</v>
      </c>
      <c r="G29" s="7">
        <f>1</f>
        <v>1</v>
      </c>
    </row>
    <row r="31" spans="1:7" x14ac:dyDescent="0.2">
      <c r="A31" s="8" t="s">
        <v>19</v>
      </c>
      <c r="B31" s="7">
        <f t="shared" ref="B31:G31" si="0">SUM(B24:B29)</f>
        <v>6</v>
      </c>
      <c r="C31" s="7">
        <f t="shared" si="0"/>
        <v>6</v>
      </c>
      <c r="D31" s="7">
        <f t="shared" si="0"/>
        <v>6</v>
      </c>
      <c r="E31" s="7">
        <f t="shared" si="0"/>
        <v>6</v>
      </c>
      <c r="F31" s="7">
        <f t="shared" si="0"/>
        <v>6</v>
      </c>
      <c r="G31" s="7">
        <f t="shared" si="0"/>
        <v>6</v>
      </c>
    </row>
    <row r="33" spans="1:2" x14ac:dyDescent="0.2">
      <c r="A33" s="4" t="s">
        <v>20</v>
      </c>
    </row>
    <row r="34" spans="1:2" x14ac:dyDescent="0.2">
      <c r="A34" s="5" t="s">
        <v>21</v>
      </c>
      <c r="B34" s="5" t="s">
        <v>22</v>
      </c>
    </row>
    <row r="35" spans="1:2" x14ac:dyDescent="0.2">
      <c r="A35" s="2" t="s">
        <v>32</v>
      </c>
      <c r="B35" s="9">
        <f>AVERAGE(B24/B31,C24/C31,D24/D31,E24/E31,F24/F31,G24/G31)</f>
        <v>0.16666666666666666</v>
      </c>
    </row>
    <row r="36" spans="1:2" x14ac:dyDescent="0.2">
      <c r="A36" s="2" t="s">
        <v>33</v>
      </c>
      <c r="B36" s="9">
        <f>AVERAGE(B25/B31,C25/C31,D25/D31,E25/E31,F25/F31,G25/G31)</f>
        <v>0.16666666666666666</v>
      </c>
    </row>
    <row r="37" spans="1:2" x14ac:dyDescent="0.2">
      <c r="A37" s="2" t="s">
        <v>34</v>
      </c>
      <c r="B37" s="9">
        <f>AVERAGE(B26/B31,C26/C31,D26/D31,E26/E31,F26/F31,G26/G31)</f>
        <v>0.16666666666666666</v>
      </c>
    </row>
    <row r="38" spans="1:2" x14ac:dyDescent="0.2">
      <c r="A38" s="2" t="s">
        <v>35</v>
      </c>
      <c r="B38" s="9">
        <f>AVERAGE(B27/B31,C27/C31,D27/D31,E27/E31,F27/F31,G27/G31)</f>
        <v>0.16666666666666666</v>
      </c>
    </row>
    <row r="39" spans="1:2" x14ac:dyDescent="0.2">
      <c r="A39" s="2" t="s">
        <v>36</v>
      </c>
      <c r="B39" s="9">
        <f>AVERAGE(B28/B31,C28/C31,D28/D31,E28/E31,F28/F31,G28/G31)</f>
        <v>0.16666666666666666</v>
      </c>
    </row>
    <row r="40" spans="1:2" x14ac:dyDescent="0.2">
      <c r="A40" s="2" t="s">
        <v>37</v>
      </c>
      <c r="B40" s="9">
        <f>AVERAGE(B29/B31,C29/C31,D29/D31,E29/E31,F29/F31,G29/G31)</f>
        <v>0.16666666666666666</v>
      </c>
    </row>
    <row r="42" spans="1:2" x14ac:dyDescent="0.2">
      <c r="A42" s="4" t="s">
        <v>23</v>
      </c>
    </row>
    <row r="43" spans="1:2" x14ac:dyDescent="0.2">
      <c r="A43" t="s">
        <v>24</v>
      </c>
      <c r="B43" s="10">
        <f>AVERAGE(((B24*B35+C24*B36+D24*B37+E24*B38+F24*B39+G24*B40)/B35),((B25*B35+C25*B36+D25*B37+E25*B38+F25*B39+G25*B40)/B36),((B26*B35+C26*B36+D26*B37+E26*B38+F26*B39+G26*B40)/B37),((B27*B35+C27*B36+D27*B37+E27*B38+F27*B39+G27*B40)/B38),((B28*B35+C28*B36+D28*B37+E28*B38+F28*B39+G28*B40)/B39),((B29*B35+C29*B36+D29*B37+E29*B38+F29*B39+G29*B40)/B40))</f>
        <v>6</v>
      </c>
    </row>
    <row r="44" spans="1:2" x14ac:dyDescent="0.2">
      <c r="A44" t="s">
        <v>25</v>
      </c>
      <c r="B44" s="10">
        <f>(B43-6)/5</f>
        <v>0</v>
      </c>
    </row>
    <row r="45" spans="1:2" x14ac:dyDescent="0.2">
      <c r="A45" t="s">
        <v>38</v>
      </c>
      <c r="B45" s="11">
        <v>1.24</v>
      </c>
    </row>
    <row r="46" spans="1:2" x14ac:dyDescent="0.2">
      <c r="A46" s="12" t="s">
        <v>27</v>
      </c>
      <c r="B46" s="13">
        <f>IF(B45=0,0,B44/B45)</f>
        <v>0</v>
      </c>
    </row>
    <row r="47" spans="1:2" x14ac:dyDescent="0.2">
      <c r="A47" s="12" t="s">
        <v>28</v>
      </c>
      <c r="B47" s="6" t="str">
        <f>IF(B46&lt;0.1,"✓ PASS","✗ FAIL — revise judgements")</f>
        <v>✓ PASS</v>
      </c>
    </row>
    <row r="50" spans="1:6" ht="20" customHeight="1" x14ac:dyDescent="0.2">
      <c r="A50" s="21" t="s">
        <v>39</v>
      </c>
      <c r="B50" s="19"/>
      <c r="C50" s="19"/>
      <c r="D50" s="19"/>
      <c r="E50" s="19"/>
      <c r="F50" s="19"/>
    </row>
    <row r="51" spans="1:6" ht="28" customHeight="1" x14ac:dyDescent="0.2">
      <c r="A51" s="23" t="s">
        <v>45</v>
      </c>
      <c r="B51" s="19"/>
      <c r="C51" s="19"/>
      <c r="D51" s="19"/>
      <c r="E51" s="19"/>
      <c r="F51" s="19"/>
    </row>
    <row r="52" spans="1:6" ht="39" customHeight="1" x14ac:dyDescent="0.2">
      <c r="A52" s="1" t="s">
        <v>12</v>
      </c>
      <c r="B52" s="1" t="s">
        <v>13</v>
      </c>
      <c r="C52" s="1" t="s">
        <v>14</v>
      </c>
    </row>
    <row r="53" spans="1:6" x14ac:dyDescent="0.2">
      <c r="A53" s="2" t="s">
        <v>32</v>
      </c>
      <c r="B53" s="2" t="s">
        <v>33</v>
      </c>
      <c r="C53" s="3">
        <v>1</v>
      </c>
    </row>
    <row r="54" spans="1:6" x14ac:dyDescent="0.2">
      <c r="A54" s="2" t="s">
        <v>32</v>
      </c>
      <c r="B54" s="2" t="s">
        <v>34</v>
      </c>
      <c r="C54" s="3">
        <v>1</v>
      </c>
    </row>
    <row r="55" spans="1:6" x14ac:dyDescent="0.2">
      <c r="A55" s="2" t="s">
        <v>32</v>
      </c>
      <c r="B55" s="2" t="s">
        <v>35</v>
      </c>
      <c r="C55" s="3">
        <v>1</v>
      </c>
    </row>
    <row r="56" spans="1:6" x14ac:dyDescent="0.2">
      <c r="A56" s="2" t="s">
        <v>32</v>
      </c>
      <c r="B56" s="2" t="s">
        <v>36</v>
      </c>
      <c r="C56" s="3">
        <v>1</v>
      </c>
    </row>
    <row r="57" spans="1:6" x14ac:dyDescent="0.2">
      <c r="A57" s="2" t="s">
        <v>32</v>
      </c>
      <c r="B57" s="2" t="s">
        <v>37</v>
      </c>
      <c r="C57" s="3">
        <v>1</v>
      </c>
    </row>
    <row r="58" spans="1:6" x14ac:dyDescent="0.2">
      <c r="A58" s="2" t="s">
        <v>33</v>
      </c>
      <c r="B58" s="2" t="s">
        <v>34</v>
      </c>
      <c r="C58" s="3">
        <v>1</v>
      </c>
    </row>
    <row r="59" spans="1:6" x14ac:dyDescent="0.2">
      <c r="A59" s="2" t="s">
        <v>33</v>
      </c>
      <c r="B59" s="2" t="s">
        <v>35</v>
      </c>
      <c r="C59" s="3">
        <v>1</v>
      </c>
    </row>
    <row r="60" spans="1:6" x14ac:dyDescent="0.2">
      <c r="A60" s="2" t="s">
        <v>33</v>
      </c>
      <c r="B60" s="2" t="s">
        <v>36</v>
      </c>
      <c r="C60" s="3">
        <v>1</v>
      </c>
    </row>
    <row r="61" spans="1:6" x14ac:dyDescent="0.2">
      <c r="A61" s="2" t="s">
        <v>33</v>
      </c>
      <c r="B61" s="2" t="s">
        <v>37</v>
      </c>
      <c r="C61" s="3">
        <v>1</v>
      </c>
    </row>
    <row r="62" spans="1:6" x14ac:dyDescent="0.2">
      <c r="A62" s="2" t="s">
        <v>34</v>
      </c>
      <c r="B62" s="2" t="s">
        <v>35</v>
      </c>
      <c r="C62" s="3">
        <v>1</v>
      </c>
    </row>
    <row r="63" spans="1:6" x14ac:dyDescent="0.2">
      <c r="A63" s="2" t="s">
        <v>34</v>
      </c>
      <c r="B63" s="2" t="s">
        <v>36</v>
      </c>
      <c r="C63" s="3">
        <v>1</v>
      </c>
    </row>
    <row r="64" spans="1:6" x14ac:dyDescent="0.2">
      <c r="A64" s="2" t="s">
        <v>34</v>
      </c>
      <c r="B64" s="2" t="s">
        <v>37</v>
      </c>
      <c r="C64" s="3">
        <v>1</v>
      </c>
    </row>
    <row r="65" spans="1:7" x14ac:dyDescent="0.2">
      <c r="A65" s="2" t="s">
        <v>35</v>
      </c>
      <c r="B65" s="2" t="s">
        <v>36</v>
      </c>
      <c r="C65" s="3">
        <v>1</v>
      </c>
    </row>
    <row r="66" spans="1:7" x14ac:dyDescent="0.2">
      <c r="A66" s="2" t="s">
        <v>35</v>
      </c>
      <c r="B66" s="2" t="s">
        <v>37</v>
      </c>
      <c r="C66" s="3">
        <v>1</v>
      </c>
    </row>
    <row r="67" spans="1:7" x14ac:dyDescent="0.2">
      <c r="A67" s="2" t="s">
        <v>36</v>
      </c>
      <c r="B67" s="2" t="s">
        <v>37</v>
      </c>
      <c r="C67" s="3">
        <v>1</v>
      </c>
    </row>
    <row r="69" spans="1:7" x14ac:dyDescent="0.2">
      <c r="A69" s="24" t="s">
        <v>18</v>
      </c>
      <c r="B69" s="19"/>
      <c r="C69" s="19"/>
      <c r="D69" s="19"/>
      <c r="E69" s="19"/>
      <c r="F69" s="19"/>
    </row>
    <row r="70" spans="1:7" x14ac:dyDescent="0.2">
      <c r="B70" s="5" t="s">
        <v>32</v>
      </c>
      <c r="C70" s="5" t="s">
        <v>33</v>
      </c>
      <c r="D70" s="5" t="s">
        <v>34</v>
      </c>
      <c r="E70" s="5" t="s">
        <v>35</v>
      </c>
      <c r="F70" s="5" t="s">
        <v>36</v>
      </c>
      <c r="G70" s="5" t="s">
        <v>37</v>
      </c>
    </row>
    <row r="71" spans="1:7" x14ac:dyDescent="0.2">
      <c r="A71" s="6" t="s">
        <v>32</v>
      </c>
      <c r="B71" s="7">
        <f>1</f>
        <v>1</v>
      </c>
      <c r="C71" s="7">
        <f>IF(C53&gt;=0,IF(C53=0,1,C53),1/ABS(C53))</f>
        <v>1</v>
      </c>
      <c r="D71" s="7">
        <f>IF(C54&gt;=0,IF(C54=0,1,C54),1/ABS(C54))</f>
        <v>1</v>
      </c>
      <c r="E71" s="7">
        <f>IF(C55&gt;=0,IF(C55=0,1,C55),1/ABS(C55))</f>
        <v>1</v>
      </c>
      <c r="F71" s="7">
        <f>IF(C56&gt;=0,IF(C56=0,1,C56),1/ABS(C56))</f>
        <v>1</v>
      </c>
      <c r="G71" s="7">
        <f>IF(C57&gt;=0,IF(C57=0,1,C57),1/ABS(C57))</f>
        <v>1</v>
      </c>
    </row>
    <row r="72" spans="1:7" x14ac:dyDescent="0.2">
      <c r="A72" s="6" t="s">
        <v>33</v>
      </c>
      <c r="B72" s="7">
        <f>1/C71</f>
        <v>1</v>
      </c>
      <c r="C72" s="7">
        <f>1</f>
        <v>1</v>
      </c>
      <c r="D72" s="7">
        <f>IF(C58&gt;=0,IF(C58=0,1,C58),1/ABS(C58))</f>
        <v>1</v>
      </c>
      <c r="E72" s="7">
        <f>IF(C59&gt;=0,IF(C59=0,1,C59),1/ABS(C59))</f>
        <v>1</v>
      </c>
      <c r="F72" s="7">
        <f>IF(C60&gt;=0,IF(C60=0,1,C60),1/ABS(C60))</f>
        <v>1</v>
      </c>
      <c r="G72" s="7">
        <f>IF(C61&gt;=0,IF(C61=0,1,C61),1/ABS(C61))</f>
        <v>1</v>
      </c>
    </row>
    <row r="73" spans="1:7" x14ac:dyDescent="0.2">
      <c r="A73" s="6" t="s">
        <v>34</v>
      </c>
      <c r="B73" s="7">
        <f>1/D71</f>
        <v>1</v>
      </c>
      <c r="C73" s="7">
        <f>1/D72</f>
        <v>1</v>
      </c>
      <c r="D73" s="7">
        <f>1</f>
        <v>1</v>
      </c>
      <c r="E73" s="7">
        <f>IF(C62&gt;=0,IF(C62=0,1,C62),1/ABS(C62))</f>
        <v>1</v>
      </c>
      <c r="F73" s="7">
        <f>IF(C63&gt;=0,IF(C63=0,1,C63),1/ABS(C63))</f>
        <v>1</v>
      </c>
      <c r="G73" s="7">
        <f>IF(C64&gt;=0,IF(C64=0,1,C64),1/ABS(C64))</f>
        <v>1</v>
      </c>
    </row>
    <row r="74" spans="1:7" x14ac:dyDescent="0.2">
      <c r="A74" s="6" t="s">
        <v>35</v>
      </c>
      <c r="B74" s="7">
        <f>1/E71</f>
        <v>1</v>
      </c>
      <c r="C74" s="7">
        <f>1/E72</f>
        <v>1</v>
      </c>
      <c r="D74" s="7">
        <f>1/E73</f>
        <v>1</v>
      </c>
      <c r="E74" s="7">
        <f>1</f>
        <v>1</v>
      </c>
      <c r="F74" s="7">
        <f>IF(C65&gt;=0,IF(C65=0,1,C65),1/ABS(C65))</f>
        <v>1</v>
      </c>
      <c r="G74" s="7">
        <f>IF(C66&gt;=0,IF(C66=0,1,C66),1/ABS(C66))</f>
        <v>1</v>
      </c>
    </row>
    <row r="75" spans="1:7" x14ac:dyDescent="0.2">
      <c r="A75" s="6" t="s">
        <v>36</v>
      </c>
      <c r="B75" s="7">
        <f>1/F71</f>
        <v>1</v>
      </c>
      <c r="C75" s="7">
        <f>1/F72</f>
        <v>1</v>
      </c>
      <c r="D75" s="7">
        <f>1/F73</f>
        <v>1</v>
      </c>
      <c r="E75" s="7">
        <f>1/F74</f>
        <v>1</v>
      </c>
      <c r="F75" s="7">
        <f>1</f>
        <v>1</v>
      </c>
      <c r="G75" s="7">
        <f>IF(C67&gt;=0,IF(C67=0,1,C67),1/ABS(C67))</f>
        <v>1</v>
      </c>
    </row>
    <row r="76" spans="1:7" x14ac:dyDescent="0.2">
      <c r="A76" s="6" t="s">
        <v>37</v>
      </c>
      <c r="B76" s="7">
        <f>1/G71</f>
        <v>1</v>
      </c>
      <c r="C76" s="7">
        <f>1/G72</f>
        <v>1</v>
      </c>
      <c r="D76" s="7">
        <f>1/G73</f>
        <v>1</v>
      </c>
      <c r="E76" s="7">
        <f>1/G74</f>
        <v>1</v>
      </c>
      <c r="F76" s="7">
        <f>1/G75</f>
        <v>1</v>
      </c>
      <c r="G76" s="7">
        <f>1</f>
        <v>1</v>
      </c>
    </row>
    <row r="78" spans="1:7" x14ac:dyDescent="0.2">
      <c r="A78" s="8" t="s">
        <v>19</v>
      </c>
      <c r="B78" s="7">
        <f t="shared" ref="B78:G78" si="1">SUM(B71:B76)</f>
        <v>6</v>
      </c>
      <c r="C78" s="7">
        <f t="shared" si="1"/>
        <v>6</v>
      </c>
      <c r="D78" s="7">
        <f t="shared" si="1"/>
        <v>6</v>
      </c>
      <c r="E78" s="7">
        <f t="shared" si="1"/>
        <v>6</v>
      </c>
      <c r="F78" s="7">
        <f t="shared" si="1"/>
        <v>6</v>
      </c>
      <c r="G78" s="7">
        <f t="shared" si="1"/>
        <v>6</v>
      </c>
    </row>
    <row r="80" spans="1:7" x14ac:dyDescent="0.2">
      <c r="A80" s="4" t="s">
        <v>20</v>
      </c>
    </row>
    <row r="81" spans="1:2" x14ac:dyDescent="0.2">
      <c r="A81" s="5" t="s">
        <v>21</v>
      </c>
      <c r="B81" s="5" t="s">
        <v>22</v>
      </c>
    </row>
    <row r="82" spans="1:2" x14ac:dyDescent="0.2">
      <c r="A82" s="2" t="s">
        <v>32</v>
      </c>
      <c r="B82" s="9">
        <f>AVERAGE(B71/B78,C71/C78,D71/D78,E71/E78,F71/F78,G71/G78)</f>
        <v>0.16666666666666666</v>
      </c>
    </row>
    <row r="83" spans="1:2" x14ac:dyDescent="0.2">
      <c r="A83" s="2" t="s">
        <v>33</v>
      </c>
      <c r="B83" s="9">
        <f>AVERAGE(B72/B78,C72/C78,D72/D78,E72/E78,F72/F78,G72/G78)</f>
        <v>0.16666666666666666</v>
      </c>
    </row>
    <row r="84" spans="1:2" x14ac:dyDescent="0.2">
      <c r="A84" s="2" t="s">
        <v>34</v>
      </c>
      <c r="B84" s="9">
        <f>AVERAGE(B73/B78,C73/C78,D73/D78,E73/E78,F73/F78,G73/G78)</f>
        <v>0.16666666666666666</v>
      </c>
    </row>
    <row r="85" spans="1:2" x14ac:dyDescent="0.2">
      <c r="A85" s="2" t="s">
        <v>35</v>
      </c>
      <c r="B85" s="9">
        <f>AVERAGE(B74/B78,C74/C78,D74/D78,E74/E78,F74/F78,G74/G78)</f>
        <v>0.16666666666666666</v>
      </c>
    </row>
    <row r="86" spans="1:2" x14ac:dyDescent="0.2">
      <c r="A86" s="2" t="s">
        <v>36</v>
      </c>
      <c r="B86" s="9">
        <f>AVERAGE(B75/B78,C75/C78,D75/D78,E75/E78,F75/F78,G75/G78)</f>
        <v>0.16666666666666666</v>
      </c>
    </row>
    <row r="87" spans="1:2" x14ac:dyDescent="0.2">
      <c r="A87" s="2" t="s">
        <v>37</v>
      </c>
      <c r="B87" s="9">
        <f>AVERAGE(B76/B78,C76/C78,D76/D78,E76/E78,F76/F78,G76/G78)</f>
        <v>0.16666666666666666</v>
      </c>
    </row>
    <row r="89" spans="1:2" x14ac:dyDescent="0.2">
      <c r="A89" s="4" t="s">
        <v>23</v>
      </c>
    </row>
    <row r="90" spans="1:2" x14ac:dyDescent="0.2">
      <c r="A90" t="s">
        <v>24</v>
      </c>
      <c r="B90" s="10">
        <f>AVERAGE(((B71*B82+C71*B83+D71*B84+E71*B85+F71*B86+G71*B87)/B82),((B72*B82+C72*B83+D72*B84+E72*B85+F72*B86+G72*B87)/B83),((B73*B82+C73*B83+D73*B84+E73*B85+F73*B86+G73*B87)/B84),((B74*B82+C74*B83+D74*B84+E74*B85+F74*B86+G74*B87)/B85),((B75*B82+C75*B83+D75*B84+E75*B85+F75*B86+G75*B87)/B86),((B76*B82+C76*B83+D76*B84+E76*B85+F76*B86+G76*B87)/B87))</f>
        <v>6</v>
      </c>
    </row>
    <row r="91" spans="1:2" x14ac:dyDescent="0.2">
      <c r="A91" t="s">
        <v>25</v>
      </c>
      <c r="B91" s="10">
        <f>(B90-6)/5</f>
        <v>0</v>
      </c>
    </row>
    <row r="92" spans="1:2" x14ac:dyDescent="0.2">
      <c r="A92" t="s">
        <v>38</v>
      </c>
      <c r="B92" s="11">
        <v>1.24</v>
      </c>
    </row>
    <row r="93" spans="1:2" x14ac:dyDescent="0.2">
      <c r="A93" s="12" t="s">
        <v>27</v>
      </c>
      <c r="B93" s="13">
        <f>IF(B92=0,0,B91/B92)</f>
        <v>0</v>
      </c>
    </row>
    <row r="94" spans="1:2" x14ac:dyDescent="0.2">
      <c r="A94" s="12" t="s">
        <v>28</v>
      </c>
      <c r="B94" s="6" t="str">
        <f>IF(B93&lt;0.1,"✓ PASS","✗ FAIL — revise judgements")</f>
        <v>✓ PASS</v>
      </c>
    </row>
    <row r="97" spans="1:6" ht="20" customHeight="1" x14ac:dyDescent="0.2">
      <c r="A97" s="21" t="s">
        <v>41</v>
      </c>
      <c r="B97" s="19"/>
      <c r="C97" s="19"/>
      <c r="D97" s="19"/>
      <c r="E97" s="19"/>
      <c r="F97" s="19"/>
    </row>
    <row r="98" spans="1:6" ht="28" customHeight="1" x14ac:dyDescent="0.2">
      <c r="A98" s="23" t="s">
        <v>46</v>
      </c>
      <c r="B98" s="19"/>
      <c r="C98" s="19"/>
      <c r="D98" s="19"/>
      <c r="E98" s="19"/>
      <c r="F98" s="19"/>
    </row>
    <row r="99" spans="1:6" ht="50" customHeight="1" x14ac:dyDescent="0.2">
      <c r="A99" s="1" t="s">
        <v>12</v>
      </c>
      <c r="B99" s="1" t="s">
        <v>13</v>
      </c>
      <c r="C99" s="1" t="s">
        <v>14</v>
      </c>
    </row>
    <row r="100" spans="1:6" x14ac:dyDescent="0.2">
      <c r="A100" s="2" t="s">
        <v>32</v>
      </c>
      <c r="B100" s="2" t="s">
        <v>33</v>
      </c>
      <c r="C100" s="3">
        <v>1</v>
      </c>
    </row>
    <row r="101" spans="1:6" x14ac:dyDescent="0.2">
      <c r="A101" s="2" t="s">
        <v>32</v>
      </c>
      <c r="B101" s="2" t="s">
        <v>34</v>
      </c>
      <c r="C101" s="3">
        <v>1</v>
      </c>
    </row>
    <row r="102" spans="1:6" x14ac:dyDescent="0.2">
      <c r="A102" s="2" t="s">
        <v>32</v>
      </c>
      <c r="B102" s="2" t="s">
        <v>35</v>
      </c>
      <c r="C102" s="3">
        <v>1</v>
      </c>
    </row>
    <row r="103" spans="1:6" x14ac:dyDescent="0.2">
      <c r="A103" s="2" t="s">
        <v>32</v>
      </c>
      <c r="B103" s="2" t="s">
        <v>36</v>
      </c>
      <c r="C103" s="3">
        <v>1</v>
      </c>
    </row>
    <row r="104" spans="1:6" x14ac:dyDescent="0.2">
      <c r="A104" s="2" t="s">
        <v>32</v>
      </c>
      <c r="B104" s="2" t="s">
        <v>37</v>
      </c>
      <c r="C104" s="3">
        <v>1</v>
      </c>
    </row>
    <row r="105" spans="1:6" x14ac:dyDescent="0.2">
      <c r="A105" s="2" t="s">
        <v>33</v>
      </c>
      <c r="B105" s="2" t="s">
        <v>34</v>
      </c>
      <c r="C105" s="3">
        <v>1</v>
      </c>
    </row>
    <row r="106" spans="1:6" x14ac:dyDescent="0.2">
      <c r="A106" s="2" t="s">
        <v>33</v>
      </c>
      <c r="B106" s="2" t="s">
        <v>35</v>
      </c>
      <c r="C106" s="3">
        <v>1</v>
      </c>
    </row>
    <row r="107" spans="1:6" x14ac:dyDescent="0.2">
      <c r="A107" s="2" t="s">
        <v>33</v>
      </c>
      <c r="B107" s="2" t="s">
        <v>36</v>
      </c>
      <c r="C107" s="3">
        <v>1</v>
      </c>
    </row>
    <row r="108" spans="1:6" x14ac:dyDescent="0.2">
      <c r="A108" s="2" t="s">
        <v>33</v>
      </c>
      <c r="B108" s="2" t="s">
        <v>37</v>
      </c>
      <c r="C108" s="3">
        <v>1</v>
      </c>
    </row>
    <row r="109" spans="1:6" x14ac:dyDescent="0.2">
      <c r="A109" s="2" t="s">
        <v>34</v>
      </c>
      <c r="B109" s="2" t="s">
        <v>35</v>
      </c>
      <c r="C109" s="3">
        <v>1</v>
      </c>
    </row>
    <row r="110" spans="1:6" x14ac:dyDescent="0.2">
      <c r="A110" s="2" t="s">
        <v>34</v>
      </c>
      <c r="B110" s="2" t="s">
        <v>36</v>
      </c>
      <c r="C110" s="3">
        <v>1</v>
      </c>
    </row>
    <row r="111" spans="1:6" x14ac:dyDescent="0.2">
      <c r="A111" s="2" t="s">
        <v>34</v>
      </c>
      <c r="B111" s="2" t="s">
        <v>37</v>
      </c>
      <c r="C111" s="3">
        <v>1</v>
      </c>
    </row>
    <row r="112" spans="1:6" x14ac:dyDescent="0.2">
      <c r="A112" s="2" t="s">
        <v>35</v>
      </c>
      <c r="B112" s="2" t="s">
        <v>36</v>
      </c>
      <c r="C112" s="3">
        <v>1</v>
      </c>
    </row>
    <row r="113" spans="1:7" x14ac:dyDescent="0.2">
      <c r="A113" s="2" t="s">
        <v>35</v>
      </c>
      <c r="B113" s="2" t="s">
        <v>37</v>
      </c>
      <c r="C113" s="3">
        <v>1</v>
      </c>
    </row>
    <row r="114" spans="1:7" x14ac:dyDescent="0.2">
      <c r="A114" s="2" t="s">
        <v>36</v>
      </c>
      <c r="B114" s="2" t="s">
        <v>37</v>
      </c>
      <c r="C114" s="3">
        <v>1</v>
      </c>
    </row>
    <row r="116" spans="1:7" x14ac:dyDescent="0.2">
      <c r="A116" s="24" t="s">
        <v>18</v>
      </c>
      <c r="B116" s="19"/>
      <c r="C116" s="19"/>
      <c r="D116" s="19"/>
      <c r="E116" s="19"/>
      <c r="F116" s="19"/>
    </row>
    <row r="117" spans="1:7" x14ac:dyDescent="0.2">
      <c r="B117" s="5" t="s">
        <v>32</v>
      </c>
      <c r="C117" s="5" t="s">
        <v>33</v>
      </c>
      <c r="D117" s="5" t="s">
        <v>34</v>
      </c>
      <c r="E117" s="5" t="s">
        <v>35</v>
      </c>
      <c r="F117" s="5" t="s">
        <v>36</v>
      </c>
      <c r="G117" s="5" t="s">
        <v>37</v>
      </c>
    </row>
    <row r="118" spans="1:7" x14ac:dyDescent="0.2">
      <c r="A118" s="6" t="s">
        <v>32</v>
      </c>
      <c r="B118" s="7">
        <f>1</f>
        <v>1</v>
      </c>
      <c r="C118" s="7">
        <f>IF(C100&gt;=0,IF(C100=0,1,C100),1/ABS(C100))</f>
        <v>1</v>
      </c>
      <c r="D118" s="7">
        <f>IF(C101&gt;=0,IF(C101=0,1,C101),1/ABS(C101))</f>
        <v>1</v>
      </c>
      <c r="E118" s="7">
        <f>IF(C102&gt;=0,IF(C102=0,1,C102),1/ABS(C102))</f>
        <v>1</v>
      </c>
      <c r="F118" s="7">
        <f>IF(C103&gt;=0,IF(C103=0,1,C103),1/ABS(C103))</f>
        <v>1</v>
      </c>
      <c r="G118" s="7">
        <f>IF(C104&gt;=0,IF(C104=0,1,C104),1/ABS(C104))</f>
        <v>1</v>
      </c>
    </row>
    <row r="119" spans="1:7" x14ac:dyDescent="0.2">
      <c r="A119" s="6" t="s">
        <v>33</v>
      </c>
      <c r="B119" s="7">
        <f>1/C118</f>
        <v>1</v>
      </c>
      <c r="C119" s="7">
        <f>1</f>
        <v>1</v>
      </c>
      <c r="D119" s="7">
        <f>IF(C105&gt;=0,IF(C105=0,1,C105),1/ABS(C105))</f>
        <v>1</v>
      </c>
      <c r="E119" s="7">
        <f>IF(C106&gt;=0,IF(C106=0,1,C106),1/ABS(C106))</f>
        <v>1</v>
      </c>
      <c r="F119" s="7">
        <f>IF(C107&gt;=0,IF(C107=0,1,C107),1/ABS(C107))</f>
        <v>1</v>
      </c>
      <c r="G119" s="7">
        <f>IF(C108&gt;=0,IF(C108=0,1,C108),1/ABS(C108))</f>
        <v>1</v>
      </c>
    </row>
    <row r="120" spans="1:7" x14ac:dyDescent="0.2">
      <c r="A120" s="6" t="s">
        <v>34</v>
      </c>
      <c r="B120" s="7">
        <f>1/D118</f>
        <v>1</v>
      </c>
      <c r="C120" s="7">
        <f>1/D119</f>
        <v>1</v>
      </c>
      <c r="D120" s="7">
        <f>1</f>
        <v>1</v>
      </c>
      <c r="E120" s="7">
        <f>IF(C109&gt;=0,IF(C109=0,1,C109),1/ABS(C109))</f>
        <v>1</v>
      </c>
      <c r="F120" s="7">
        <f>IF(C110&gt;=0,IF(C110=0,1,C110),1/ABS(C110))</f>
        <v>1</v>
      </c>
      <c r="G120" s="7">
        <f>IF(C111&gt;=0,IF(C111=0,1,C111),1/ABS(C111))</f>
        <v>1</v>
      </c>
    </row>
    <row r="121" spans="1:7" x14ac:dyDescent="0.2">
      <c r="A121" s="6" t="s">
        <v>35</v>
      </c>
      <c r="B121" s="7">
        <f>1/E118</f>
        <v>1</v>
      </c>
      <c r="C121" s="7">
        <f>1/E119</f>
        <v>1</v>
      </c>
      <c r="D121" s="7">
        <f>1/E120</f>
        <v>1</v>
      </c>
      <c r="E121" s="7">
        <f>1</f>
        <v>1</v>
      </c>
      <c r="F121" s="7">
        <f>IF(C112&gt;=0,IF(C112=0,1,C112),1/ABS(C112))</f>
        <v>1</v>
      </c>
      <c r="G121" s="7">
        <f>IF(C113&gt;=0,IF(C113=0,1,C113),1/ABS(C113))</f>
        <v>1</v>
      </c>
    </row>
    <row r="122" spans="1:7" x14ac:dyDescent="0.2">
      <c r="A122" s="6" t="s">
        <v>36</v>
      </c>
      <c r="B122" s="7">
        <f>1/F118</f>
        <v>1</v>
      </c>
      <c r="C122" s="7">
        <f>1/F119</f>
        <v>1</v>
      </c>
      <c r="D122" s="7">
        <f>1/F120</f>
        <v>1</v>
      </c>
      <c r="E122" s="7">
        <f>1/F121</f>
        <v>1</v>
      </c>
      <c r="F122" s="7">
        <f>1</f>
        <v>1</v>
      </c>
      <c r="G122" s="7">
        <f>IF(C114&gt;=0,IF(C114=0,1,C114),1/ABS(C114))</f>
        <v>1</v>
      </c>
    </row>
    <row r="123" spans="1:7" x14ac:dyDescent="0.2">
      <c r="A123" s="6" t="s">
        <v>37</v>
      </c>
      <c r="B123" s="7">
        <f>1/G118</f>
        <v>1</v>
      </c>
      <c r="C123" s="7">
        <f>1/G119</f>
        <v>1</v>
      </c>
      <c r="D123" s="7">
        <f>1/G120</f>
        <v>1</v>
      </c>
      <c r="E123" s="7">
        <f>1/G121</f>
        <v>1</v>
      </c>
      <c r="F123" s="7">
        <f>1/G122</f>
        <v>1</v>
      </c>
      <c r="G123" s="7">
        <f>1</f>
        <v>1</v>
      </c>
    </row>
    <row r="125" spans="1:7" x14ac:dyDescent="0.2">
      <c r="A125" s="8" t="s">
        <v>19</v>
      </c>
      <c r="B125" s="7">
        <f t="shared" ref="B125:G125" si="2">SUM(B118:B123)</f>
        <v>6</v>
      </c>
      <c r="C125" s="7">
        <f t="shared" si="2"/>
        <v>6</v>
      </c>
      <c r="D125" s="7">
        <f t="shared" si="2"/>
        <v>6</v>
      </c>
      <c r="E125" s="7">
        <f t="shared" si="2"/>
        <v>6</v>
      </c>
      <c r="F125" s="7">
        <f t="shared" si="2"/>
        <v>6</v>
      </c>
      <c r="G125" s="7">
        <f t="shared" si="2"/>
        <v>6</v>
      </c>
    </row>
    <row r="127" spans="1:7" x14ac:dyDescent="0.2">
      <c r="A127" s="4" t="s">
        <v>20</v>
      </c>
    </row>
    <row r="128" spans="1:7" x14ac:dyDescent="0.2">
      <c r="A128" s="5" t="s">
        <v>21</v>
      </c>
      <c r="B128" s="5" t="s">
        <v>22</v>
      </c>
    </row>
    <row r="129" spans="1:2" x14ac:dyDescent="0.2">
      <c r="A129" s="2" t="s">
        <v>32</v>
      </c>
      <c r="B129" s="9">
        <f>AVERAGE(B118/B125,C118/C125,D118/D125,E118/E125,F118/F125,G118/G125)</f>
        <v>0.16666666666666666</v>
      </c>
    </row>
    <row r="130" spans="1:2" x14ac:dyDescent="0.2">
      <c r="A130" s="2" t="s">
        <v>33</v>
      </c>
      <c r="B130" s="9">
        <f>AVERAGE(B119/B125,C119/C125,D119/D125,E119/E125,F119/F125,G119/G125)</f>
        <v>0.16666666666666666</v>
      </c>
    </row>
    <row r="131" spans="1:2" x14ac:dyDescent="0.2">
      <c r="A131" s="2" t="s">
        <v>34</v>
      </c>
      <c r="B131" s="9">
        <f>AVERAGE(B120/B125,C120/C125,D120/D125,E120/E125,F120/F125,G120/G125)</f>
        <v>0.16666666666666666</v>
      </c>
    </row>
    <row r="132" spans="1:2" x14ac:dyDescent="0.2">
      <c r="A132" s="2" t="s">
        <v>35</v>
      </c>
      <c r="B132" s="9">
        <f>AVERAGE(B121/B125,C121/C125,D121/D125,E121/E125,F121/F125,G121/G125)</f>
        <v>0.16666666666666666</v>
      </c>
    </row>
    <row r="133" spans="1:2" x14ac:dyDescent="0.2">
      <c r="A133" s="2" t="s">
        <v>36</v>
      </c>
      <c r="B133" s="9">
        <f>AVERAGE(B122/B125,C122/C125,D122/D125,E122/E125,F122/F125,G122/G125)</f>
        <v>0.16666666666666666</v>
      </c>
    </row>
    <row r="134" spans="1:2" x14ac:dyDescent="0.2">
      <c r="A134" s="2" t="s">
        <v>37</v>
      </c>
      <c r="B134" s="9">
        <f>AVERAGE(B123/B125,C123/C125,D123/D125,E123/E125,F123/F125,G123/G125)</f>
        <v>0.16666666666666666</v>
      </c>
    </row>
    <row r="136" spans="1:2" x14ac:dyDescent="0.2">
      <c r="A136" s="4" t="s">
        <v>23</v>
      </c>
    </row>
    <row r="137" spans="1:2" x14ac:dyDescent="0.2">
      <c r="A137" t="s">
        <v>24</v>
      </c>
      <c r="B137" s="10">
        <f>AVERAGE(((B118*B129+C118*B130+D118*B131+E118*B132+F118*B133+G118*B134)/B129),((B119*B129+C119*B130+D119*B131+E119*B132+F119*B133+G119*B134)/B130),((B120*B129+C120*B130+D120*B131+E120*B132+F120*B133+G120*B134)/B131),((B121*B129+C121*B130+D121*B131+E121*B132+F121*B133+G121*B134)/B132),((B122*B129+C122*B130+D122*B131+E122*B132+F122*B133+G122*B134)/B133),((B123*B129+C123*B130+D123*B131+E123*B132+F123*B133+G123*B134)/B134))</f>
        <v>6</v>
      </c>
    </row>
    <row r="138" spans="1:2" x14ac:dyDescent="0.2">
      <c r="A138" t="s">
        <v>25</v>
      </c>
      <c r="B138" s="10">
        <f>(B137-6)/5</f>
        <v>0</v>
      </c>
    </row>
    <row r="139" spans="1:2" x14ac:dyDescent="0.2">
      <c r="A139" t="s">
        <v>38</v>
      </c>
      <c r="B139" s="11">
        <v>1.24</v>
      </c>
    </row>
    <row r="140" spans="1:2" x14ac:dyDescent="0.2">
      <c r="A140" s="12" t="s">
        <v>27</v>
      </c>
      <c r="B140" s="13">
        <f>IF(B139=0,0,B138/B139)</f>
        <v>0</v>
      </c>
    </row>
    <row r="141" spans="1:2" x14ac:dyDescent="0.2">
      <c r="A141" s="12" t="s">
        <v>28</v>
      </c>
      <c r="B141" s="6" t="str">
        <f>IF(B140&lt;0.1,"✓ PASS","✗ FAIL — revise judgements")</f>
        <v>✓ PASS</v>
      </c>
    </row>
  </sheetData>
  <mergeCells count="10">
    <mergeCell ref="A51:F51"/>
    <mergeCell ref="A98:F98"/>
    <mergeCell ref="A116:F116"/>
    <mergeCell ref="A1:F1"/>
    <mergeCell ref="A22:F22"/>
    <mergeCell ref="A97:F97"/>
    <mergeCell ref="A50:F50"/>
    <mergeCell ref="A4:F4"/>
    <mergeCell ref="A3:F3"/>
    <mergeCell ref="A69:F6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1"/>
  <sheetViews>
    <sheetView workbookViewId="0">
      <selection sqref="A1:F1"/>
    </sheetView>
  </sheetViews>
  <sheetFormatPr baseColWidth="10" defaultColWidth="8.83203125" defaultRowHeight="15" x14ac:dyDescent="0.2"/>
  <cols>
    <col min="1" max="1" width="16" customWidth="1"/>
    <col min="2" max="2" width="14" customWidth="1"/>
    <col min="3" max="3" width="30" customWidth="1"/>
    <col min="4" max="7" width="14" customWidth="1"/>
  </cols>
  <sheetData>
    <row r="1" spans="1:6" ht="28" customHeight="1" x14ac:dyDescent="0.2">
      <c r="A1" s="22" t="s">
        <v>47</v>
      </c>
      <c r="B1" s="19"/>
      <c r="C1" s="19"/>
      <c r="D1" s="19"/>
      <c r="E1" s="19"/>
      <c r="F1" s="19"/>
    </row>
    <row r="3" spans="1:6" ht="20" customHeight="1" x14ac:dyDescent="0.2">
      <c r="A3" s="21" t="s">
        <v>30</v>
      </c>
      <c r="B3" s="19"/>
      <c r="C3" s="19"/>
      <c r="D3" s="19"/>
      <c r="E3" s="19"/>
      <c r="F3" s="19"/>
    </row>
    <row r="4" spans="1:6" ht="28" customHeight="1" x14ac:dyDescent="0.2">
      <c r="A4" s="23" t="s">
        <v>48</v>
      </c>
      <c r="B4" s="19"/>
      <c r="C4" s="19"/>
      <c r="D4" s="19"/>
      <c r="E4" s="19"/>
      <c r="F4" s="19"/>
    </row>
    <row r="5" spans="1:6" ht="30" customHeight="1" x14ac:dyDescent="0.2">
      <c r="A5" s="1" t="s">
        <v>12</v>
      </c>
      <c r="B5" s="1" t="s">
        <v>13</v>
      </c>
      <c r="C5" s="1" t="s">
        <v>14</v>
      </c>
    </row>
    <row r="6" spans="1:6" x14ac:dyDescent="0.2">
      <c r="A6" s="2" t="s">
        <v>32</v>
      </c>
      <c r="B6" s="2" t="s">
        <v>33</v>
      </c>
      <c r="C6" s="3">
        <v>1</v>
      </c>
    </row>
    <row r="7" spans="1:6" x14ac:dyDescent="0.2">
      <c r="A7" s="2" t="s">
        <v>32</v>
      </c>
      <c r="B7" s="2" t="s">
        <v>34</v>
      </c>
      <c r="C7" s="3">
        <v>1</v>
      </c>
    </row>
    <row r="8" spans="1:6" x14ac:dyDescent="0.2">
      <c r="A8" s="2" t="s">
        <v>32</v>
      </c>
      <c r="B8" s="2" t="s">
        <v>35</v>
      </c>
      <c r="C8" s="3">
        <v>1</v>
      </c>
    </row>
    <row r="9" spans="1:6" x14ac:dyDescent="0.2">
      <c r="A9" s="2" t="s">
        <v>32</v>
      </c>
      <c r="B9" s="2" t="s">
        <v>36</v>
      </c>
      <c r="C9" s="3">
        <v>1</v>
      </c>
    </row>
    <row r="10" spans="1:6" x14ac:dyDescent="0.2">
      <c r="A10" s="2" t="s">
        <v>32</v>
      </c>
      <c r="B10" s="2" t="s">
        <v>37</v>
      </c>
      <c r="C10" s="3">
        <v>1</v>
      </c>
    </row>
    <row r="11" spans="1:6" x14ac:dyDescent="0.2">
      <c r="A11" s="2" t="s">
        <v>33</v>
      </c>
      <c r="B11" s="2" t="s">
        <v>34</v>
      </c>
      <c r="C11" s="3">
        <v>1</v>
      </c>
    </row>
    <row r="12" spans="1:6" x14ac:dyDescent="0.2">
      <c r="A12" s="2" t="s">
        <v>33</v>
      </c>
      <c r="B12" s="2" t="s">
        <v>35</v>
      </c>
      <c r="C12" s="3">
        <v>1</v>
      </c>
    </row>
    <row r="13" spans="1:6" x14ac:dyDescent="0.2">
      <c r="A13" s="2" t="s">
        <v>33</v>
      </c>
      <c r="B13" s="2" t="s">
        <v>36</v>
      </c>
      <c r="C13" s="3">
        <v>1</v>
      </c>
    </row>
    <row r="14" spans="1:6" x14ac:dyDescent="0.2">
      <c r="A14" s="2" t="s">
        <v>33</v>
      </c>
      <c r="B14" s="2" t="s">
        <v>37</v>
      </c>
      <c r="C14" s="3">
        <v>1</v>
      </c>
    </row>
    <row r="15" spans="1:6" x14ac:dyDescent="0.2">
      <c r="A15" s="2" t="s">
        <v>34</v>
      </c>
      <c r="B15" s="2" t="s">
        <v>35</v>
      </c>
      <c r="C15" s="3">
        <v>1</v>
      </c>
    </row>
    <row r="16" spans="1:6" x14ac:dyDescent="0.2">
      <c r="A16" s="2" t="s">
        <v>34</v>
      </c>
      <c r="B16" s="2" t="s">
        <v>36</v>
      </c>
      <c r="C16" s="3">
        <v>1</v>
      </c>
    </row>
    <row r="17" spans="1:7" x14ac:dyDescent="0.2">
      <c r="A17" s="2" t="s">
        <v>34</v>
      </c>
      <c r="B17" s="2" t="s">
        <v>37</v>
      </c>
      <c r="C17" s="3">
        <v>1</v>
      </c>
    </row>
    <row r="18" spans="1:7" x14ac:dyDescent="0.2">
      <c r="A18" s="2" t="s">
        <v>35</v>
      </c>
      <c r="B18" s="2" t="s">
        <v>36</v>
      </c>
      <c r="C18" s="3">
        <v>1</v>
      </c>
    </row>
    <row r="19" spans="1:7" x14ac:dyDescent="0.2">
      <c r="A19" s="2" t="s">
        <v>35</v>
      </c>
      <c r="B19" s="2" t="s">
        <v>37</v>
      </c>
      <c r="C19" s="3">
        <v>1</v>
      </c>
    </row>
    <row r="20" spans="1:7" x14ac:dyDescent="0.2">
      <c r="A20" s="2" t="s">
        <v>36</v>
      </c>
      <c r="B20" s="2" t="s">
        <v>37</v>
      </c>
      <c r="C20" s="3">
        <v>1</v>
      </c>
    </row>
    <row r="22" spans="1:7" x14ac:dyDescent="0.2">
      <c r="A22" s="24" t="s">
        <v>18</v>
      </c>
      <c r="B22" s="19"/>
      <c r="C22" s="19"/>
      <c r="D22" s="19"/>
      <c r="E22" s="19"/>
      <c r="F22" s="19"/>
    </row>
    <row r="23" spans="1:7" x14ac:dyDescent="0.2">
      <c r="B23" s="5" t="s">
        <v>32</v>
      </c>
      <c r="C23" s="5" t="s">
        <v>33</v>
      </c>
      <c r="D23" s="5" t="s">
        <v>34</v>
      </c>
      <c r="E23" s="5" t="s">
        <v>35</v>
      </c>
      <c r="F23" s="5" t="s">
        <v>36</v>
      </c>
      <c r="G23" s="5" t="s">
        <v>37</v>
      </c>
    </row>
    <row r="24" spans="1:7" x14ac:dyDescent="0.2">
      <c r="A24" s="6" t="s">
        <v>32</v>
      </c>
      <c r="B24" s="7">
        <f>1</f>
        <v>1</v>
      </c>
      <c r="C24" s="7">
        <f>IF(C6&gt;=0,IF(C6=0,1,C6),1/ABS(C6))</f>
        <v>1</v>
      </c>
      <c r="D24" s="7">
        <f>IF(C7&gt;=0,IF(C7=0,1,C7),1/ABS(C7))</f>
        <v>1</v>
      </c>
      <c r="E24" s="7">
        <f>IF(C8&gt;=0,IF(C8=0,1,C8),1/ABS(C8))</f>
        <v>1</v>
      </c>
      <c r="F24" s="7">
        <f>IF(C9&gt;=0,IF(C9=0,1,C9),1/ABS(C9))</f>
        <v>1</v>
      </c>
      <c r="G24" s="7">
        <f>IF(C10&gt;=0,IF(C10=0,1,C10),1/ABS(C10))</f>
        <v>1</v>
      </c>
    </row>
    <row r="25" spans="1:7" x14ac:dyDescent="0.2">
      <c r="A25" s="6" t="s">
        <v>33</v>
      </c>
      <c r="B25" s="7">
        <f>1/C24</f>
        <v>1</v>
      </c>
      <c r="C25" s="7">
        <f>1</f>
        <v>1</v>
      </c>
      <c r="D25" s="7">
        <f>IF(C11&gt;=0,IF(C11=0,1,C11),1/ABS(C11))</f>
        <v>1</v>
      </c>
      <c r="E25" s="7">
        <f>IF(C12&gt;=0,IF(C12=0,1,C12),1/ABS(C12))</f>
        <v>1</v>
      </c>
      <c r="F25" s="7">
        <f>IF(C13&gt;=0,IF(C13=0,1,C13),1/ABS(C13))</f>
        <v>1</v>
      </c>
      <c r="G25" s="7">
        <f>IF(C14&gt;=0,IF(C14=0,1,C14),1/ABS(C14))</f>
        <v>1</v>
      </c>
    </row>
    <row r="26" spans="1:7" x14ac:dyDescent="0.2">
      <c r="A26" s="6" t="s">
        <v>34</v>
      </c>
      <c r="B26" s="7">
        <f>1/D24</f>
        <v>1</v>
      </c>
      <c r="C26" s="7">
        <f>1/D25</f>
        <v>1</v>
      </c>
      <c r="D26" s="7">
        <f>1</f>
        <v>1</v>
      </c>
      <c r="E26" s="7">
        <f>IF(C15&gt;=0,IF(C15=0,1,C15),1/ABS(C15))</f>
        <v>1</v>
      </c>
      <c r="F26" s="7">
        <f>IF(C16&gt;=0,IF(C16=0,1,C16),1/ABS(C16))</f>
        <v>1</v>
      </c>
      <c r="G26" s="7">
        <f>IF(C17&gt;=0,IF(C17=0,1,C17),1/ABS(C17))</f>
        <v>1</v>
      </c>
    </row>
    <row r="27" spans="1:7" x14ac:dyDescent="0.2">
      <c r="A27" s="6" t="s">
        <v>35</v>
      </c>
      <c r="B27" s="7">
        <f>1/E24</f>
        <v>1</v>
      </c>
      <c r="C27" s="7">
        <f>1/E25</f>
        <v>1</v>
      </c>
      <c r="D27" s="7">
        <f>1/E26</f>
        <v>1</v>
      </c>
      <c r="E27" s="7">
        <f>1</f>
        <v>1</v>
      </c>
      <c r="F27" s="7">
        <f>IF(C18&gt;=0,IF(C18=0,1,C18),1/ABS(C18))</f>
        <v>1</v>
      </c>
      <c r="G27" s="7">
        <f>IF(C19&gt;=0,IF(C19=0,1,C19),1/ABS(C19))</f>
        <v>1</v>
      </c>
    </row>
    <row r="28" spans="1:7" x14ac:dyDescent="0.2">
      <c r="A28" s="6" t="s">
        <v>36</v>
      </c>
      <c r="B28" s="7">
        <f>1/F24</f>
        <v>1</v>
      </c>
      <c r="C28" s="7">
        <f>1/F25</f>
        <v>1</v>
      </c>
      <c r="D28" s="7">
        <f>1/F26</f>
        <v>1</v>
      </c>
      <c r="E28" s="7">
        <f>1/F27</f>
        <v>1</v>
      </c>
      <c r="F28" s="7">
        <f>1</f>
        <v>1</v>
      </c>
      <c r="G28" s="7">
        <f>IF(C20&gt;=0,IF(C20=0,1,C20),1/ABS(C20))</f>
        <v>1</v>
      </c>
    </row>
    <row r="29" spans="1:7" x14ac:dyDescent="0.2">
      <c r="A29" s="6" t="s">
        <v>37</v>
      </c>
      <c r="B29" s="7">
        <f>1/G24</f>
        <v>1</v>
      </c>
      <c r="C29" s="7">
        <f>1/G25</f>
        <v>1</v>
      </c>
      <c r="D29" s="7">
        <f>1/G26</f>
        <v>1</v>
      </c>
      <c r="E29" s="7">
        <f>1/G27</f>
        <v>1</v>
      </c>
      <c r="F29" s="7">
        <f>1/G28</f>
        <v>1</v>
      </c>
      <c r="G29" s="7">
        <f>1</f>
        <v>1</v>
      </c>
    </row>
    <row r="31" spans="1:7" x14ac:dyDescent="0.2">
      <c r="A31" s="8" t="s">
        <v>19</v>
      </c>
      <c r="B31" s="7">
        <f t="shared" ref="B31:G31" si="0">SUM(B24:B29)</f>
        <v>6</v>
      </c>
      <c r="C31" s="7">
        <f t="shared" si="0"/>
        <v>6</v>
      </c>
      <c r="D31" s="7">
        <f t="shared" si="0"/>
        <v>6</v>
      </c>
      <c r="E31" s="7">
        <f t="shared" si="0"/>
        <v>6</v>
      </c>
      <c r="F31" s="7">
        <f t="shared" si="0"/>
        <v>6</v>
      </c>
      <c r="G31" s="7">
        <f t="shared" si="0"/>
        <v>6</v>
      </c>
    </row>
    <row r="33" spans="1:2" x14ac:dyDescent="0.2">
      <c r="A33" s="4" t="s">
        <v>20</v>
      </c>
    </row>
    <row r="34" spans="1:2" x14ac:dyDescent="0.2">
      <c r="A34" s="5" t="s">
        <v>21</v>
      </c>
      <c r="B34" s="5" t="s">
        <v>22</v>
      </c>
    </row>
    <row r="35" spans="1:2" x14ac:dyDescent="0.2">
      <c r="A35" s="2" t="s">
        <v>32</v>
      </c>
      <c r="B35" s="9">
        <f>AVERAGE(B24/B31,C24/C31,D24/D31,E24/E31,F24/F31,G24/G31)</f>
        <v>0.16666666666666666</v>
      </c>
    </row>
    <row r="36" spans="1:2" x14ac:dyDescent="0.2">
      <c r="A36" s="2" t="s">
        <v>33</v>
      </c>
      <c r="B36" s="9">
        <f>AVERAGE(B25/B31,C25/C31,D25/D31,E25/E31,F25/F31,G25/G31)</f>
        <v>0.16666666666666666</v>
      </c>
    </row>
    <row r="37" spans="1:2" x14ac:dyDescent="0.2">
      <c r="A37" s="2" t="s">
        <v>34</v>
      </c>
      <c r="B37" s="9">
        <f>AVERAGE(B26/B31,C26/C31,D26/D31,E26/E31,F26/F31,G26/G31)</f>
        <v>0.16666666666666666</v>
      </c>
    </row>
    <row r="38" spans="1:2" x14ac:dyDescent="0.2">
      <c r="A38" s="2" t="s">
        <v>35</v>
      </c>
      <c r="B38" s="9">
        <f>AVERAGE(B27/B31,C27/C31,D27/D31,E27/E31,F27/F31,G27/G31)</f>
        <v>0.16666666666666666</v>
      </c>
    </row>
    <row r="39" spans="1:2" x14ac:dyDescent="0.2">
      <c r="A39" s="2" t="s">
        <v>36</v>
      </c>
      <c r="B39" s="9">
        <f>AVERAGE(B28/B31,C28/C31,D28/D31,E28/E31,F28/F31,G28/G31)</f>
        <v>0.16666666666666666</v>
      </c>
    </row>
    <row r="40" spans="1:2" x14ac:dyDescent="0.2">
      <c r="A40" s="2" t="s">
        <v>37</v>
      </c>
      <c r="B40" s="9">
        <f>AVERAGE(B29/B31,C29/C31,D29/D31,E29/E31,F29/F31,G29/G31)</f>
        <v>0.16666666666666666</v>
      </c>
    </row>
    <row r="42" spans="1:2" x14ac:dyDescent="0.2">
      <c r="A42" s="4" t="s">
        <v>23</v>
      </c>
    </row>
    <row r="43" spans="1:2" x14ac:dyDescent="0.2">
      <c r="A43" t="s">
        <v>24</v>
      </c>
      <c r="B43" s="10">
        <f>AVERAGE(((B24*B35+C24*B36+D24*B37+E24*B38+F24*B39+G24*B40)/B35),((B25*B35+C25*B36+D25*B37+E25*B38+F25*B39+G25*B40)/B36),((B26*B35+C26*B36+D26*B37+E26*B38+F26*B39+G26*B40)/B37),((B27*B35+C27*B36+D27*B37+E27*B38+F27*B39+G27*B40)/B38),((B28*B35+C28*B36+D28*B37+E28*B38+F28*B39+G28*B40)/B39),((B29*B35+C29*B36+D29*B37+E29*B38+F29*B39+G29*B40)/B40))</f>
        <v>6</v>
      </c>
    </row>
    <row r="44" spans="1:2" x14ac:dyDescent="0.2">
      <c r="A44" t="s">
        <v>25</v>
      </c>
      <c r="B44" s="10">
        <f>(B43-6)/5</f>
        <v>0</v>
      </c>
    </row>
    <row r="45" spans="1:2" x14ac:dyDescent="0.2">
      <c r="A45" t="s">
        <v>38</v>
      </c>
      <c r="B45" s="11">
        <v>1.24</v>
      </c>
    </row>
    <row r="46" spans="1:2" x14ac:dyDescent="0.2">
      <c r="A46" s="12" t="s">
        <v>27</v>
      </c>
      <c r="B46" s="13">
        <f>IF(B45=0,0,B44/B45)</f>
        <v>0</v>
      </c>
    </row>
    <row r="47" spans="1:2" x14ac:dyDescent="0.2">
      <c r="A47" s="12" t="s">
        <v>28</v>
      </c>
      <c r="B47" s="6" t="str">
        <f>IF(B46&lt;0.1,"✓ PASS","✗ FAIL — revise judgements")</f>
        <v>✓ PASS</v>
      </c>
    </row>
    <row r="50" spans="1:6" ht="20" customHeight="1" x14ac:dyDescent="0.2">
      <c r="A50" s="21" t="s">
        <v>39</v>
      </c>
      <c r="B50" s="19"/>
      <c r="C50" s="19"/>
      <c r="D50" s="19"/>
      <c r="E50" s="19"/>
      <c r="F50" s="19"/>
    </row>
    <row r="51" spans="1:6" ht="28" customHeight="1" x14ac:dyDescent="0.2">
      <c r="A51" s="23" t="s">
        <v>49</v>
      </c>
      <c r="B51" s="19"/>
      <c r="C51" s="19"/>
      <c r="D51" s="19"/>
      <c r="E51" s="19"/>
      <c r="F51" s="19"/>
    </row>
    <row r="52" spans="1:6" ht="30" customHeight="1" x14ac:dyDescent="0.2">
      <c r="A52" s="1" t="s">
        <v>12</v>
      </c>
      <c r="B52" s="1" t="s">
        <v>13</v>
      </c>
      <c r="C52" s="1" t="s">
        <v>14</v>
      </c>
    </row>
    <row r="53" spans="1:6" x14ac:dyDescent="0.2">
      <c r="A53" s="2" t="s">
        <v>32</v>
      </c>
      <c r="B53" s="2" t="s">
        <v>33</v>
      </c>
      <c r="C53" s="3">
        <v>1</v>
      </c>
    </row>
    <row r="54" spans="1:6" x14ac:dyDescent="0.2">
      <c r="A54" s="2" t="s">
        <v>32</v>
      </c>
      <c r="B54" s="2" t="s">
        <v>34</v>
      </c>
      <c r="C54" s="3">
        <v>1</v>
      </c>
    </row>
    <row r="55" spans="1:6" x14ac:dyDescent="0.2">
      <c r="A55" s="2" t="s">
        <v>32</v>
      </c>
      <c r="B55" s="2" t="s">
        <v>35</v>
      </c>
      <c r="C55" s="3">
        <v>1</v>
      </c>
    </row>
    <row r="56" spans="1:6" x14ac:dyDescent="0.2">
      <c r="A56" s="2" t="s">
        <v>32</v>
      </c>
      <c r="B56" s="2" t="s">
        <v>36</v>
      </c>
      <c r="C56" s="3">
        <v>1</v>
      </c>
    </row>
    <row r="57" spans="1:6" x14ac:dyDescent="0.2">
      <c r="A57" s="2" t="s">
        <v>32</v>
      </c>
      <c r="B57" s="2" t="s">
        <v>37</v>
      </c>
      <c r="C57" s="3">
        <v>1</v>
      </c>
    </row>
    <row r="58" spans="1:6" x14ac:dyDescent="0.2">
      <c r="A58" s="2" t="s">
        <v>33</v>
      </c>
      <c r="B58" s="2" t="s">
        <v>34</v>
      </c>
      <c r="C58" s="3">
        <v>1</v>
      </c>
    </row>
    <row r="59" spans="1:6" x14ac:dyDescent="0.2">
      <c r="A59" s="2" t="s">
        <v>33</v>
      </c>
      <c r="B59" s="2" t="s">
        <v>35</v>
      </c>
      <c r="C59" s="3">
        <v>1</v>
      </c>
    </row>
    <row r="60" spans="1:6" x14ac:dyDescent="0.2">
      <c r="A60" s="2" t="s">
        <v>33</v>
      </c>
      <c r="B60" s="2" t="s">
        <v>36</v>
      </c>
      <c r="C60" s="3">
        <v>1</v>
      </c>
    </row>
    <row r="61" spans="1:6" x14ac:dyDescent="0.2">
      <c r="A61" s="2" t="s">
        <v>33</v>
      </c>
      <c r="B61" s="2" t="s">
        <v>37</v>
      </c>
      <c r="C61" s="3">
        <v>1</v>
      </c>
    </row>
    <row r="62" spans="1:6" x14ac:dyDescent="0.2">
      <c r="A62" s="2" t="s">
        <v>34</v>
      </c>
      <c r="B62" s="2" t="s">
        <v>35</v>
      </c>
      <c r="C62" s="3">
        <v>1</v>
      </c>
    </row>
    <row r="63" spans="1:6" x14ac:dyDescent="0.2">
      <c r="A63" s="2" t="s">
        <v>34</v>
      </c>
      <c r="B63" s="2" t="s">
        <v>36</v>
      </c>
      <c r="C63" s="3">
        <v>1</v>
      </c>
    </row>
    <row r="64" spans="1:6" x14ac:dyDescent="0.2">
      <c r="A64" s="2" t="s">
        <v>34</v>
      </c>
      <c r="B64" s="2" t="s">
        <v>37</v>
      </c>
      <c r="C64" s="3">
        <v>1</v>
      </c>
    </row>
    <row r="65" spans="1:7" x14ac:dyDescent="0.2">
      <c r="A65" s="2" t="s">
        <v>35</v>
      </c>
      <c r="B65" s="2" t="s">
        <v>36</v>
      </c>
      <c r="C65" s="3">
        <v>1</v>
      </c>
    </row>
    <row r="66" spans="1:7" x14ac:dyDescent="0.2">
      <c r="A66" s="2" t="s">
        <v>35</v>
      </c>
      <c r="B66" s="2" t="s">
        <v>37</v>
      </c>
      <c r="C66" s="3">
        <v>1</v>
      </c>
    </row>
    <row r="67" spans="1:7" x14ac:dyDescent="0.2">
      <c r="A67" s="2" t="s">
        <v>36</v>
      </c>
      <c r="B67" s="2" t="s">
        <v>37</v>
      </c>
      <c r="C67" s="3">
        <v>1</v>
      </c>
    </row>
    <row r="69" spans="1:7" x14ac:dyDescent="0.2">
      <c r="A69" s="24" t="s">
        <v>18</v>
      </c>
      <c r="B69" s="19"/>
      <c r="C69" s="19"/>
      <c r="D69" s="19"/>
      <c r="E69" s="19"/>
      <c r="F69" s="19"/>
    </row>
    <row r="70" spans="1:7" x14ac:dyDescent="0.2">
      <c r="B70" s="5" t="s">
        <v>32</v>
      </c>
      <c r="C70" s="5" t="s">
        <v>33</v>
      </c>
      <c r="D70" s="5" t="s">
        <v>34</v>
      </c>
      <c r="E70" s="5" t="s">
        <v>35</v>
      </c>
      <c r="F70" s="5" t="s">
        <v>36</v>
      </c>
      <c r="G70" s="5" t="s">
        <v>37</v>
      </c>
    </row>
    <row r="71" spans="1:7" x14ac:dyDescent="0.2">
      <c r="A71" s="6" t="s">
        <v>32</v>
      </c>
      <c r="B71" s="7">
        <f>1</f>
        <v>1</v>
      </c>
      <c r="C71" s="7">
        <f>IF(C53&gt;=0,IF(C53=0,1,C53),1/ABS(C53))</f>
        <v>1</v>
      </c>
      <c r="D71" s="7">
        <f>IF(C54&gt;=0,IF(C54=0,1,C54),1/ABS(C54))</f>
        <v>1</v>
      </c>
      <c r="E71" s="7">
        <f>IF(C55&gt;=0,IF(C55=0,1,C55),1/ABS(C55))</f>
        <v>1</v>
      </c>
      <c r="F71" s="7">
        <f>IF(C56&gt;=0,IF(C56=0,1,C56),1/ABS(C56))</f>
        <v>1</v>
      </c>
      <c r="G71" s="7">
        <f>IF(C57&gt;=0,IF(C57=0,1,C57),1/ABS(C57))</f>
        <v>1</v>
      </c>
    </row>
    <row r="72" spans="1:7" x14ac:dyDescent="0.2">
      <c r="A72" s="6" t="s">
        <v>33</v>
      </c>
      <c r="B72" s="7">
        <f>1/C71</f>
        <v>1</v>
      </c>
      <c r="C72" s="7">
        <f>1</f>
        <v>1</v>
      </c>
      <c r="D72" s="7">
        <f>IF(C58&gt;=0,IF(C58=0,1,C58),1/ABS(C58))</f>
        <v>1</v>
      </c>
      <c r="E72" s="7">
        <f>IF(C59&gt;=0,IF(C59=0,1,C59),1/ABS(C59))</f>
        <v>1</v>
      </c>
      <c r="F72" s="7">
        <f>IF(C60&gt;=0,IF(C60=0,1,C60),1/ABS(C60))</f>
        <v>1</v>
      </c>
      <c r="G72" s="7">
        <f>IF(C61&gt;=0,IF(C61=0,1,C61),1/ABS(C61))</f>
        <v>1</v>
      </c>
    </row>
    <row r="73" spans="1:7" x14ac:dyDescent="0.2">
      <c r="A73" s="6" t="s">
        <v>34</v>
      </c>
      <c r="B73" s="7">
        <f>1/D71</f>
        <v>1</v>
      </c>
      <c r="C73" s="7">
        <f>1/D72</f>
        <v>1</v>
      </c>
      <c r="D73" s="7">
        <f>1</f>
        <v>1</v>
      </c>
      <c r="E73" s="7">
        <f>IF(C62&gt;=0,IF(C62=0,1,C62),1/ABS(C62))</f>
        <v>1</v>
      </c>
      <c r="F73" s="7">
        <f>IF(C63&gt;=0,IF(C63=0,1,C63),1/ABS(C63))</f>
        <v>1</v>
      </c>
      <c r="G73" s="7">
        <f>IF(C64&gt;=0,IF(C64=0,1,C64),1/ABS(C64))</f>
        <v>1</v>
      </c>
    </row>
    <row r="74" spans="1:7" x14ac:dyDescent="0.2">
      <c r="A74" s="6" t="s">
        <v>35</v>
      </c>
      <c r="B74" s="7">
        <f>1/E71</f>
        <v>1</v>
      </c>
      <c r="C74" s="7">
        <f>1/E72</f>
        <v>1</v>
      </c>
      <c r="D74" s="7">
        <f>1/E73</f>
        <v>1</v>
      </c>
      <c r="E74" s="7">
        <f>1</f>
        <v>1</v>
      </c>
      <c r="F74" s="7">
        <f>IF(C65&gt;=0,IF(C65=0,1,C65),1/ABS(C65))</f>
        <v>1</v>
      </c>
      <c r="G74" s="7">
        <f>IF(C66&gt;=0,IF(C66=0,1,C66),1/ABS(C66))</f>
        <v>1</v>
      </c>
    </row>
    <row r="75" spans="1:7" x14ac:dyDescent="0.2">
      <c r="A75" s="6" t="s">
        <v>36</v>
      </c>
      <c r="B75" s="7">
        <f>1/F71</f>
        <v>1</v>
      </c>
      <c r="C75" s="7">
        <f>1/F72</f>
        <v>1</v>
      </c>
      <c r="D75" s="7">
        <f>1/F73</f>
        <v>1</v>
      </c>
      <c r="E75" s="7">
        <f>1/F74</f>
        <v>1</v>
      </c>
      <c r="F75" s="7">
        <f>1</f>
        <v>1</v>
      </c>
      <c r="G75" s="7">
        <f>IF(C67&gt;=0,IF(C67=0,1,C67),1/ABS(C67))</f>
        <v>1</v>
      </c>
    </row>
    <row r="76" spans="1:7" x14ac:dyDescent="0.2">
      <c r="A76" s="6" t="s">
        <v>37</v>
      </c>
      <c r="B76" s="7">
        <f>1/G71</f>
        <v>1</v>
      </c>
      <c r="C76" s="7">
        <f>1/G72</f>
        <v>1</v>
      </c>
      <c r="D76" s="7">
        <f>1/G73</f>
        <v>1</v>
      </c>
      <c r="E76" s="7">
        <f>1/G74</f>
        <v>1</v>
      </c>
      <c r="F76" s="7">
        <f>1/G75</f>
        <v>1</v>
      </c>
      <c r="G76" s="7">
        <f>1</f>
        <v>1</v>
      </c>
    </row>
    <row r="78" spans="1:7" x14ac:dyDescent="0.2">
      <c r="A78" s="8" t="s">
        <v>19</v>
      </c>
      <c r="B78" s="7">
        <f t="shared" ref="B78:G78" si="1">SUM(B71:B76)</f>
        <v>6</v>
      </c>
      <c r="C78" s="7">
        <f t="shared" si="1"/>
        <v>6</v>
      </c>
      <c r="D78" s="7">
        <f t="shared" si="1"/>
        <v>6</v>
      </c>
      <c r="E78" s="7">
        <f t="shared" si="1"/>
        <v>6</v>
      </c>
      <c r="F78" s="7">
        <f t="shared" si="1"/>
        <v>6</v>
      </c>
      <c r="G78" s="7">
        <f t="shared" si="1"/>
        <v>6</v>
      </c>
    </row>
    <row r="80" spans="1:7" x14ac:dyDescent="0.2">
      <c r="A80" s="4" t="s">
        <v>20</v>
      </c>
    </row>
    <row r="81" spans="1:2" x14ac:dyDescent="0.2">
      <c r="A81" s="5" t="s">
        <v>21</v>
      </c>
      <c r="B81" s="5" t="s">
        <v>22</v>
      </c>
    </row>
    <row r="82" spans="1:2" x14ac:dyDescent="0.2">
      <c r="A82" s="2" t="s">
        <v>32</v>
      </c>
      <c r="B82" s="9">
        <f>AVERAGE(B71/B78,C71/C78,D71/D78,E71/E78,F71/F78,G71/G78)</f>
        <v>0.16666666666666666</v>
      </c>
    </row>
    <row r="83" spans="1:2" x14ac:dyDescent="0.2">
      <c r="A83" s="2" t="s">
        <v>33</v>
      </c>
      <c r="B83" s="9">
        <f>AVERAGE(B72/B78,C72/C78,D72/D78,E72/E78,F72/F78,G72/G78)</f>
        <v>0.16666666666666666</v>
      </c>
    </row>
    <row r="84" spans="1:2" x14ac:dyDescent="0.2">
      <c r="A84" s="2" t="s">
        <v>34</v>
      </c>
      <c r="B84" s="9">
        <f>AVERAGE(B73/B78,C73/C78,D73/D78,E73/E78,F73/F78,G73/G78)</f>
        <v>0.16666666666666666</v>
      </c>
    </row>
    <row r="85" spans="1:2" x14ac:dyDescent="0.2">
      <c r="A85" s="2" t="s">
        <v>35</v>
      </c>
      <c r="B85" s="9">
        <f>AVERAGE(B74/B78,C74/C78,D74/D78,E74/E78,F74/F78,G74/G78)</f>
        <v>0.16666666666666666</v>
      </c>
    </row>
    <row r="86" spans="1:2" x14ac:dyDescent="0.2">
      <c r="A86" s="2" t="s">
        <v>36</v>
      </c>
      <c r="B86" s="9">
        <f>AVERAGE(B75/B78,C75/C78,D75/D78,E75/E78,F75/F78,G75/G78)</f>
        <v>0.16666666666666666</v>
      </c>
    </row>
    <row r="87" spans="1:2" x14ac:dyDescent="0.2">
      <c r="A87" s="2" t="s">
        <v>37</v>
      </c>
      <c r="B87" s="9">
        <f>AVERAGE(B76/B78,C76/C78,D76/D78,E76/E78,F76/F78,G76/G78)</f>
        <v>0.16666666666666666</v>
      </c>
    </row>
    <row r="89" spans="1:2" x14ac:dyDescent="0.2">
      <c r="A89" s="4" t="s">
        <v>23</v>
      </c>
    </row>
    <row r="90" spans="1:2" x14ac:dyDescent="0.2">
      <c r="A90" t="s">
        <v>24</v>
      </c>
      <c r="B90" s="10">
        <f>AVERAGE(((B71*B82+C71*B83+D71*B84+E71*B85+F71*B86+G71*B87)/B82),((B72*B82+C72*B83+D72*B84+E72*B85+F72*B86+G72*B87)/B83),((B73*B82+C73*B83+D73*B84+E73*B85+F73*B86+G73*B87)/B84),((B74*B82+C74*B83+D74*B84+E74*B85+F74*B86+G74*B87)/B85),((B75*B82+C75*B83+D75*B84+E75*B85+F75*B86+G75*B87)/B86),((B76*B82+C76*B83+D76*B84+E76*B85+F76*B86+G76*B87)/B87))</f>
        <v>6</v>
      </c>
    </row>
    <row r="91" spans="1:2" x14ac:dyDescent="0.2">
      <c r="A91" t="s">
        <v>25</v>
      </c>
      <c r="B91" s="10">
        <f>(B90-6)/5</f>
        <v>0</v>
      </c>
    </row>
    <row r="92" spans="1:2" x14ac:dyDescent="0.2">
      <c r="A92" t="s">
        <v>38</v>
      </c>
      <c r="B92" s="11">
        <v>1.24</v>
      </c>
    </row>
    <row r="93" spans="1:2" x14ac:dyDescent="0.2">
      <c r="A93" s="12" t="s">
        <v>27</v>
      </c>
      <c r="B93" s="13">
        <f>IF(B92=0,0,B91/B92)</f>
        <v>0</v>
      </c>
    </row>
    <row r="94" spans="1:2" x14ac:dyDescent="0.2">
      <c r="A94" s="12" t="s">
        <v>28</v>
      </c>
      <c r="B94" s="6" t="str">
        <f>IF(B93&lt;0.1,"✓ PASS","✗ FAIL — revise judgements")</f>
        <v>✓ PASS</v>
      </c>
    </row>
    <row r="97" spans="1:6" ht="20" customHeight="1" x14ac:dyDescent="0.2">
      <c r="A97" s="21" t="s">
        <v>41</v>
      </c>
      <c r="B97" s="19"/>
      <c r="C97" s="19"/>
      <c r="D97" s="19"/>
      <c r="E97" s="19"/>
      <c r="F97" s="19"/>
    </row>
    <row r="98" spans="1:6" ht="28" customHeight="1" x14ac:dyDescent="0.2">
      <c r="A98" s="23" t="s">
        <v>50</v>
      </c>
      <c r="B98" s="19"/>
      <c r="C98" s="19"/>
      <c r="D98" s="19"/>
      <c r="E98" s="19"/>
      <c r="F98" s="19"/>
    </row>
    <row r="99" spans="1:6" ht="30" customHeight="1" x14ac:dyDescent="0.2">
      <c r="A99" s="1" t="s">
        <v>12</v>
      </c>
      <c r="B99" s="1" t="s">
        <v>13</v>
      </c>
      <c r="C99" s="1" t="s">
        <v>14</v>
      </c>
    </row>
    <row r="100" spans="1:6" x14ac:dyDescent="0.2">
      <c r="A100" s="2" t="s">
        <v>32</v>
      </c>
      <c r="B100" s="2" t="s">
        <v>33</v>
      </c>
      <c r="C100" s="3">
        <v>1</v>
      </c>
    </row>
    <row r="101" spans="1:6" x14ac:dyDescent="0.2">
      <c r="A101" s="2" t="s">
        <v>32</v>
      </c>
      <c r="B101" s="2" t="s">
        <v>34</v>
      </c>
      <c r="C101" s="3">
        <v>1</v>
      </c>
    </row>
    <row r="102" spans="1:6" x14ac:dyDescent="0.2">
      <c r="A102" s="2" t="s">
        <v>32</v>
      </c>
      <c r="B102" s="2" t="s">
        <v>35</v>
      </c>
      <c r="C102" s="3">
        <v>1</v>
      </c>
    </row>
    <row r="103" spans="1:6" x14ac:dyDescent="0.2">
      <c r="A103" s="2" t="s">
        <v>32</v>
      </c>
      <c r="B103" s="2" t="s">
        <v>36</v>
      </c>
      <c r="C103" s="3">
        <v>1</v>
      </c>
    </row>
    <row r="104" spans="1:6" x14ac:dyDescent="0.2">
      <c r="A104" s="2" t="s">
        <v>32</v>
      </c>
      <c r="B104" s="2" t="s">
        <v>37</v>
      </c>
      <c r="C104" s="3">
        <v>1</v>
      </c>
    </row>
    <row r="105" spans="1:6" x14ac:dyDescent="0.2">
      <c r="A105" s="2" t="s">
        <v>33</v>
      </c>
      <c r="B105" s="2" t="s">
        <v>34</v>
      </c>
      <c r="C105" s="3">
        <v>1</v>
      </c>
    </row>
    <row r="106" spans="1:6" x14ac:dyDescent="0.2">
      <c r="A106" s="2" t="s">
        <v>33</v>
      </c>
      <c r="B106" s="2" t="s">
        <v>35</v>
      </c>
      <c r="C106" s="3">
        <v>1</v>
      </c>
    </row>
    <row r="107" spans="1:6" x14ac:dyDescent="0.2">
      <c r="A107" s="2" t="s">
        <v>33</v>
      </c>
      <c r="B107" s="2" t="s">
        <v>36</v>
      </c>
      <c r="C107" s="3">
        <v>1</v>
      </c>
    </row>
    <row r="108" spans="1:6" x14ac:dyDescent="0.2">
      <c r="A108" s="2" t="s">
        <v>33</v>
      </c>
      <c r="B108" s="2" t="s">
        <v>37</v>
      </c>
      <c r="C108" s="3">
        <v>1</v>
      </c>
    </row>
    <row r="109" spans="1:6" x14ac:dyDescent="0.2">
      <c r="A109" s="2" t="s">
        <v>34</v>
      </c>
      <c r="B109" s="2" t="s">
        <v>35</v>
      </c>
      <c r="C109" s="3">
        <v>1</v>
      </c>
    </row>
    <row r="110" spans="1:6" x14ac:dyDescent="0.2">
      <c r="A110" s="2" t="s">
        <v>34</v>
      </c>
      <c r="B110" s="2" t="s">
        <v>36</v>
      </c>
      <c r="C110" s="3">
        <v>1</v>
      </c>
    </row>
    <row r="111" spans="1:6" x14ac:dyDescent="0.2">
      <c r="A111" s="2" t="s">
        <v>34</v>
      </c>
      <c r="B111" s="2" t="s">
        <v>37</v>
      </c>
      <c r="C111" s="3">
        <v>1</v>
      </c>
    </row>
    <row r="112" spans="1:6" x14ac:dyDescent="0.2">
      <c r="A112" s="2" t="s">
        <v>35</v>
      </c>
      <c r="B112" s="2" t="s">
        <v>36</v>
      </c>
      <c r="C112" s="3">
        <v>1</v>
      </c>
    </row>
    <row r="113" spans="1:7" x14ac:dyDescent="0.2">
      <c r="A113" s="2" t="s">
        <v>35</v>
      </c>
      <c r="B113" s="2" t="s">
        <v>37</v>
      </c>
      <c r="C113" s="3">
        <v>1</v>
      </c>
    </row>
    <row r="114" spans="1:7" x14ac:dyDescent="0.2">
      <c r="A114" s="2" t="s">
        <v>36</v>
      </c>
      <c r="B114" s="2" t="s">
        <v>37</v>
      </c>
      <c r="C114" s="3">
        <v>1</v>
      </c>
    </row>
    <row r="116" spans="1:7" x14ac:dyDescent="0.2">
      <c r="A116" s="24" t="s">
        <v>18</v>
      </c>
      <c r="B116" s="19"/>
      <c r="C116" s="19"/>
      <c r="D116" s="19"/>
      <c r="E116" s="19"/>
      <c r="F116" s="19"/>
    </row>
    <row r="117" spans="1:7" x14ac:dyDescent="0.2">
      <c r="B117" s="5" t="s">
        <v>32</v>
      </c>
      <c r="C117" s="5" t="s">
        <v>33</v>
      </c>
      <c r="D117" s="5" t="s">
        <v>34</v>
      </c>
      <c r="E117" s="5" t="s">
        <v>35</v>
      </c>
      <c r="F117" s="5" t="s">
        <v>36</v>
      </c>
      <c r="G117" s="5" t="s">
        <v>37</v>
      </c>
    </row>
    <row r="118" spans="1:7" x14ac:dyDescent="0.2">
      <c r="A118" s="6" t="s">
        <v>32</v>
      </c>
      <c r="B118" s="7">
        <f>1</f>
        <v>1</v>
      </c>
      <c r="C118" s="7">
        <f>IF(C100&gt;=0,IF(C100=0,1,C100),1/ABS(C100))</f>
        <v>1</v>
      </c>
      <c r="D118" s="7">
        <f>IF(C101&gt;=0,IF(C101=0,1,C101),1/ABS(C101))</f>
        <v>1</v>
      </c>
      <c r="E118" s="7">
        <f>IF(C102&gt;=0,IF(C102=0,1,C102),1/ABS(C102))</f>
        <v>1</v>
      </c>
      <c r="F118" s="7">
        <f>IF(C103&gt;=0,IF(C103=0,1,C103),1/ABS(C103))</f>
        <v>1</v>
      </c>
      <c r="G118" s="7">
        <f>IF(C104&gt;=0,IF(C104=0,1,C104),1/ABS(C104))</f>
        <v>1</v>
      </c>
    </row>
    <row r="119" spans="1:7" x14ac:dyDescent="0.2">
      <c r="A119" s="6" t="s">
        <v>33</v>
      </c>
      <c r="B119" s="7">
        <f>1/C118</f>
        <v>1</v>
      </c>
      <c r="C119" s="7">
        <f>1</f>
        <v>1</v>
      </c>
      <c r="D119" s="7">
        <f>IF(C105&gt;=0,IF(C105=0,1,C105),1/ABS(C105))</f>
        <v>1</v>
      </c>
      <c r="E119" s="7">
        <f>IF(C106&gt;=0,IF(C106=0,1,C106),1/ABS(C106))</f>
        <v>1</v>
      </c>
      <c r="F119" s="7">
        <f>IF(C107&gt;=0,IF(C107=0,1,C107),1/ABS(C107))</f>
        <v>1</v>
      </c>
      <c r="G119" s="7">
        <f>IF(C108&gt;=0,IF(C108=0,1,C108),1/ABS(C108))</f>
        <v>1</v>
      </c>
    </row>
    <row r="120" spans="1:7" x14ac:dyDescent="0.2">
      <c r="A120" s="6" t="s">
        <v>34</v>
      </c>
      <c r="B120" s="7">
        <f>1/D118</f>
        <v>1</v>
      </c>
      <c r="C120" s="7">
        <f>1/D119</f>
        <v>1</v>
      </c>
      <c r="D120" s="7">
        <f>1</f>
        <v>1</v>
      </c>
      <c r="E120" s="7">
        <f>IF(C109&gt;=0,IF(C109=0,1,C109),1/ABS(C109))</f>
        <v>1</v>
      </c>
      <c r="F120" s="7">
        <f>IF(C110&gt;=0,IF(C110=0,1,C110),1/ABS(C110))</f>
        <v>1</v>
      </c>
      <c r="G120" s="7">
        <f>IF(C111&gt;=0,IF(C111=0,1,C111),1/ABS(C111))</f>
        <v>1</v>
      </c>
    </row>
    <row r="121" spans="1:7" x14ac:dyDescent="0.2">
      <c r="A121" s="6" t="s">
        <v>35</v>
      </c>
      <c r="B121" s="7">
        <f>1/E118</f>
        <v>1</v>
      </c>
      <c r="C121" s="7">
        <f>1/E119</f>
        <v>1</v>
      </c>
      <c r="D121" s="7">
        <f>1/E120</f>
        <v>1</v>
      </c>
      <c r="E121" s="7">
        <f>1</f>
        <v>1</v>
      </c>
      <c r="F121" s="7">
        <f>IF(C112&gt;=0,IF(C112=0,1,C112),1/ABS(C112))</f>
        <v>1</v>
      </c>
      <c r="G121" s="7">
        <f>IF(C113&gt;=0,IF(C113=0,1,C113),1/ABS(C113))</f>
        <v>1</v>
      </c>
    </row>
    <row r="122" spans="1:7" x14ac:dyDescent="0.2">
      <c r="A122" s="6" t="s">
        <v>36</v>
      </c>
      <c r="B122" s="7">
        <f>1/F118</f>
        <v>1</v>
      </c>
      <c r="C122" s="7">
        <f>1/F119</f>
        <v>1</v>
      </c>
      <c r="D122" s="7">
        <f>1/F120</f>
        <v>1</v>
      </c>
      <c r="E122" s="7">
        <f>1/F121</f>
        <v>1</v>
      </c>
      <c r="F122" s="7">
        <f>1</f>
        <v>1</v>
      </c>
      <c r="G122" s="7">
        <f>IF(C114&gt;=0,IF(C114=0,1,C114),1/ABS(C114))</f>
        <v>1</v>
      </c>
    </row>
    <row r="123" spans="1:7" x14ac:dyDescent="0.2">
      <c r="A123" s="6" t="s">
        <v>37</v>
      </c>
      <c r="B123" s="7">
        <f>1/G118</f>
        <v>1</v>
      </c>
      <c r="C123" s="7">
        <f>1/G119</f>
        <v>1</v>
      </c>
      <c r="D123" s="7">
        <f>1/G120</f>
        <v>1</v>
      </c>
      <c r="E123" s="7">
        <f>1/G121</f>
        <v>1</v>
      </c>
      <c r="F123" s="7">
        <f>1/G122</f>
        <v>1</v>
      </c>
      <c r="G123" s="7">
        <f>1</f>
        <v>1</v>
      </c>
    </row>
    <row r="125" spans="1:7" x14ac:dyDescent="0.2">
      <c r="A125" s="8" t="s">
        <v>19</v>
      </c>
      <c r="B125" s="7">
        <f t="shared" ref="B125:G125" si="2">SUM(B118:B123)</f>
        <v>6</v>
      </c>
      <c r="C125" s="7">
        <f t="shared" si="2"/>
        <v>6</v>
      </c>
      <c r="D125" s="7">
        <f t="shared" si="2"/>
        <v>6</v>
      </c>
      <c r="E125" s="7">
        <f t="shared" si="2"/>
        <v>6</v>
      </c>
      <c r="F125" s="7">
        <f t="shared" si="2"/>
        <v>6</v>
      </c>
      <c r="G125" s="7">
        <f t="shared" si="2"/>
        <v>6</v>
      </c>
    </row>
    <row r="127" spans="1:7" x14ac:dyDescent="0.2">
      <c r="A127" s="4" t="s">
        <v>20</v>
      </c>
    </row>
    <row r="128" spans="1:7" x14ac:dyDescent="0.2">
      <c r="A128" s="5" t="s">
        <v>21</v>
      </c>
      <c r="B128" s="5" t="s">
        <v>22</v>
      </c>
    </row>
    <row r="129" spans="1:2" x14ac:dyDescent="0.2">
      <c r="A129" s="2" t="s">
        <v>32</v>
      </c>
      <c r="B129" s="9">
        <f>AVERAGE(B118/B125,C118/C125,D118/D125,E118/E125,F118/F125,G118/G125)</f>
        <v>0.16666666666666666</v>
      </c>
    </row>
    <row r="130" spans="1:2" x14ac:dyDescent="0.2">
      <c r="A130" s="2" t="s">
        <v>33</v>
      </c>
      <c r="B130" s="9">
        <f>AVERAGE(B119/B125,C119/C125,D119/D125,E119/E125,F119/F125,G119/G125)</f>
        <v>0.16666666666666666</v>
      </c>
    </row>
    <row r="131" spans="1:2" x14ac:dyDescent="0.2">
      <c r="A131" s="2" t="s">
        <v>34</v>
      </c>
      <c r="B131" s="9">
        <f>AVERAGE(B120/B125,C120/C125,D120/D125,E120/E125,F120/F125,G120/G125)</f>
        <v>0.16666666666666666</v>
      </c>
    </row>
    <row r="132" spans="1:2" x14ac:dyDescent="0.2">
      <c r="A132" s="2" t="s">
        <v>35</v>
      </c>
      <c r="B132" s="9">
        <f>AVERAGE(B121/B125,C121/C125,D121/D125,E121/E125,F121/F125,G121/G125)</f>
        <v>0.16666666666666666</v>
      </c>
    </row>
    <row r="133" spans="1:2" x14ac:dyDescent="0.2">
      <c r="A133" s="2" t="s">
        <v>36</v>
      </c>
      <c r="B133" s="9">
        <f>AVERAGE(B122/B125,C122/C125,D122/D125,E122/E125,F122/F125,G122/G125)</f>
        <v>0.16666666666666666</v>
      </c>
    </row>
    <row r="134" spans="1:2" x14ac:dyDescent="0.2">
      <c r="A134" s="2" t="s">
        <v>37</v>
      </c>
      <c r="B134" s="9">
        <f>AVERAGE(B123/B125,C123/C125,D123/D125,E123/E125,F123/F125,G123/G125)</f>
        <v>0.16666666666666666</v>
      </c>
    </row>
    <row r="136" spans="1:2" x14ac:dyDescent="0.2">
      <c r="A136" s="4" t="s">
        <v>23</v>
      </c>
    </row>
    <row r="137" spans="1:2" x14ac:dyDescent="0.2">
      <c r="A137" t="s">
        <v>24</v>
      </c>
      <c r="B137" s="10">
        <f>AVERAGE(((B118*B129+C118*B130+D118*B131+E118*B132+F118*B133+G118*B134)/B129),((B119*B129+C119*B130+D119*B131+E119*B132+F119*B133+G119*B134)/B130),((B120*B129+C120*B130+D120*B131+E120*B132+F120*B133+G120*B134)/B131),((B121*B129+C121*B130+D121*B131+E121*B132+F121*B133+G121*B134)/B132),((B122*B129+C122*B130+D122*B131+E122*B132+F122*B133+G122*B134)/B133),((B123*B129+C123*B130+D123*B131+E123*B132+F123*B133+G123*B134)/B134))</f>
        <v>6</v>
      </c>
    </row>
    <row r="138" spans="1:2" x14ac:dyDescent="0.2">
      <c r="A138" t="s">
        <v>25</v>
      </c>
      <c r="B138" s="10">
        <f>(B137-6)/5</f>
        <v>0</v>
      </c>
    </row>
    <row r="139" spans="1:2" x14ac:dyDescent="0.2">
      <c r="A139" t="s">
        <v>38</v>
      </c>
      <c r="B139" s="11">
        <v>1.24</v>
      </c>
    </row>
    <row r="140" spans="1:2" x14ac:dyDescent="0.2">
      <c r="A140" s="12" t="s">
        <v>27</v>
      </c>
      <c r="B140" s="13">
        <f>IF(B139=0,0,B138/B139)</f>
        <v>0</v>
      </c>
    </row>
    <row r="141" spans="1:2" x14ac:dyDescent="0.2">
      <c r="A141" s="12" t="s">
        <v>28</v>
      </c>
      <c r="B141" s="6" t="str">
        <f>IF(B140&lt;0.1,"✓ PASS","✗ FAIL — revise judgements")</f>
        <v>✓ PASS</v>
      </c>
    </row>
  </sheetData>
  <mergeCells count="10">
    <mergeCell ref="A51:F51"/>
    <mergeCell ref="A98:F98"/>
    <mergeCell ref="A116:F116"/>
    <mergeCell ref="A1:F1"/>
    <mergeCell ref="A22:F22"/>
    <mergeCell ref="A97:F97"/>
    <mergeCell ref="A50:F50"/>
    <mergeCell ref="A4:F4"/>
    <mergeCell ref="A3:F3"/>
    <mergeCell ref="A69:F6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2"/>
  <sheetViews>
    <sheetView workbookViewId="0">
      <selection sqref="A1:I1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3" width="26" customWidth="1"/>
    <col min="4" max="6" width="12" customWidth="1"/>
    <col min="7" max="7" width="14" customWidth="1"/>
  </cols>
  <sheetData>
    <row r="1" spans="1:9" ht="30" customHeight="1" x14ac:dyDescent="0.2">
      <c r="A1" s="20" t="s">
        <v>51</v>
      </c>
      <c r="B1" s="19"/>
      <c r="C1" s="19"/>
      <c r="D1" s="19"/>
      <c r="E1" s="19"/>
      <c r="F1" s="19"/>
      <c r="G1" s="19"/>
      <c r="H1" s="19"/>
      <c r="I1" s="19"/>
    </row>
    <row r="3" spans="1:9" ht="20" customHeight="1" x14ac:dyDescent="0.2">
      <c r="A3" s="25" t="s">
        <v>52</v>
      </c>
      <c r="B3" s="19"/>
      <c r="C3" s="19"/>
      <c r="D3" s="19"/>
      <c r="E3" s="19"/>
      <c r="F3" s="19"/>
      <c r="G3" s="19"/>
      <c r="H3" s="19"/>
      <c r="I3" s="19"/>
    </row>
    <row r="5" spans="1:9" ht="20" customHeight="1" x14ac:dyDescent="0.2">
      <c r="A5" s="21" t="s">
        <v>53</v>
      </c>
      <c r="B5" s="19"/>
      <c r="C5" s="19"/>
      <c r="D5" s="19"/>
      <c r="E5" s="19"/>
      <c r="F5" s="19"/>
      <c r="G5" s="19"/>
      <c r="H5" s="19"/>
      <c r="I5" s="19"/>
    </row>
    <row r="6" spans="1:9" ht="30" customHeight="1" x14ac:dyDescent="0.2">
      <c r="A6" s="14" t="s">
        <v>54</v>
      </c>
      <c r="B6" s="14" t="s">
        <v>55</v>
      </c>
      <c r="C6" s="14" t="s">
        <v>56</v>
      </c>
      <c r="D6" s="14" t="s">
        <v>57</v>
      </c>
      <c r="E6" s="14" t="s">
        <v>58</v>
      </c>
      <c r="F6" s="14" t="s">
        <v>59</v>
      </c>
      <c r="G6" s="14" t="s">
        <v>60</v>
      </c>
    </row>
    <row r="7" spans="1:9" x14ac:dyDescent="0.2">
      <c r="A7" s="2">
        <f t="shared" ref="A7:A12" si="0">RANK(G7,$G$7:$G$12)</f>
        <v>1</v>
      </c>
      <c r="B7" s="2" t="s">
        <v>32</v>
      </c>
      <c r="C7" s="15" t="s">
        <v>61</v>
      </c>
      <c r="D7" s="16">
        <f>Privacy!B35</f>
        <v>0.16666666666666666</v>
      </c>
      <c r="E7" s="16">
        <f>Privacy!B82</f>
        <v>0.16666666666666666</v>
      </c>
      <c r="F7" s="16">
        <f>Privacy!B129</f>
        <v>0.16666666666666666</v>
      </c>
      <c r="G7" s="17">
        <f>'Criteria Weights'!B20*D7+'Criteria Weights'!B21*E7+'Criteria Weights'!B22*F7</f>
        <v>0.16666666666666666</v>
      </c>
    </row>
    <row r="8" spans="1:9" x14ac:dyDescent="0.2">
      <c r="A8" s="2">
        <f t="shared" si="0"/>
        <v>1</v>
      </c>
      <c r="B8" s="2" t="s">
        <v>33</v>
      </c>
      <c r="C8" s="15" t="s">
        <v>62</v>
      </c>
      <c r="D8" s="16">
        <f>Privacy!B36</f>
        <v>0.16666666666666666</v>
      </c>
      <c r="E8" s="16">
        <f>Privacy!B83</f>
        <v>0.16666666666666666</v>
      </c>
      <c r="F8" s="16">
        <f>Privacy!B130</f>
        <v>0.16666666666666666</v>
      </c>
      <c r="G8" s="17">
        <f>'Criteria Weights'!B20*D8+'Criteria Weights'!B21*E8+'Criteria Weights'!B22*F8</f>
        <v>0.16666666666666666</v>
      </c>
    </row>
    <row r="9" spans="1:9" x14ac:dyDescent="0.2">
      <c r="A9" s="2">
        <f t="shared" si="0"/>
        <v>1</v>
      </c>
      <c r="B9" s="2" t="s">
        <v>34</v>
      </c>
      <c r="C9" s="15" t="s">
        <v>63</v>
      </c>
      <c r="D9" s="16">
        <f>Privacy!B37</f>
        <v>0.16666666666666666</v>
      </c>
      <c r="E9" s="16">
        <f>Privacy!B84</f>
        <v>0.16666666666666666</v>
      </c>
      <c r="F9" s="16">
        <f>Privacy!B131</f>
        <v>0.16666666666666666</v>
      </c>
      <c r="G9" s="17">
        <f>'Criteria Weights'!B20*D9+'Criteria Weights'!B21*E9+'Criteria Weights'!B22*F9</f>
        <v>0.16666666666666666</v>
      </c>
    </row>
    <row r="10" spans="1:9" x14ac:dyDescent="0.2">
      <c r="A10" s="2">
        <f t="shared" si="0"/>
        <v>1</v>
      </c>
      <c r="B10" s="2" t="s">
        <v>35</v>
      </c>
      <c r="C10" s="15" t="s">
        <v>64</v>
      </c>
      <c r="D10" s="16">
        <f>Privacy!B38</f>
        <v>0.16666666666666666</v>
      </c>
      <c r="E10" s="16">
        <f>Privacy!B85</f>
        <v>0.16666666666666666</v>
      </c>
      <c r="F10" s="16">
        <f>Privacy!B132</f>
        <v>0.16666666666666666</v>
      </c>
      <c r="G10" s="17">
        <f>'Criteria Weights'!B20*D10+'Criteria Weights'!B21*E10+'Criteria Weights'!B22*F10</f>
        <v>0.16666666666666666</v>
      </c>
    </row>
    <row r="11" spans="1:9" x14ac:dyDescent="0.2">
      <c r="A11" s="2">
        <f t="shared" si="0"/>
        <v>1</v>
      </c>
      <c r="B11" s="2" t="s">
        <v>36</v>
      </c>
      <c r="C11" s="15" t="s">
        <v>65</v>
      </c>
      <c r="D11" s="16">
        <f>Privacy!B39</f>
        <v>0.16666666666666666</v>
      </c>
      <c r="E11" s="16">
        <f>Privacy!B86</f>
        <v>0.16666666666666666</v>
      </c>
      <c r="F11" s="16">
        <f>Privacy!B133</f>
        <v>0.16666666666666666</v>
      </c>
      <c r="G11" s="17">
        <f>'Criteria Weights'!B20*D11+'Criteria Weights'!B21*E11+'Criteria Weights'!B22*F11</f>
        <v>0.16666666666666666</v>
      </c>
    </row>
    <row r="12" spans="1:9" x14ac:dyDescent="0.2">
      <c r="A12" s="2">
        <f t="shared" si="0"/>
        <v>1</v>
      </c>
      <c r="B12" s="2" t="s">
        <v>37</v>
      </c>
      <c r="C12" s="15" t="s">
        <v>66</v>
      </c>
      <c r="D12" s="16">
        <f>Privacy!B40</f>
        <v>0.16666666666666666</v>
      </c>
      <c r="E12" s="16">
        <f>Privacy!B87</f>
        <v>0.16666666666666666</v>
      </c>
      <c r="F12" s="16">
        <f>Privacy!B134</f>
        <v>0.16666666666666666</v>
      </c>
      <c r="G12" s="17">
        <f>'Criteria Weights'!B20*D12+'Criteria Weights'!B21*E12+'Criteria Weights'!B22*F12</f>
        <v>0.16666666666666666</v>
      </c>
    </row>
    <row r="15" spans="1:9" ht="20" customHeight="1" x14ac:dyDescent="0.2">
      <c r="A15" s="21" t="s">
        <v>67</v>
      </c>
      <c r="B15" s="19"/>
      <c r="C15" s="19"/>
      <c r="D15" s="19"/>
      <c r="E15" s="19"/>
      <c r="F15" s="19"/>
      <c r="G15" s="19"/>
      <c r="H15" s="19"/>
      <c r="I15" s="19"/>
    </row>
    <row r="16" spans="1:9" ht="30" customHeight="1" x14ac:dyDescent="0.2">
      <c r="A16" s="14" t="s">
        <v>54</v>
      </c>
      <c r="B16" s="14" t="s">
        <v>55</v>
      </c>
      <c r="C16" s="14" t="s">
        <v>56</v>
      </c>
      <c r="D16" s="14" t="s">
        <v>57</v>
      </c>
      <c r="E16" s="14" t="s">
        <v>58</v>
      </c>
      <c r="F16" s="14" t="s">
        <v>59</v>
      </c>
      <c r="G16" s="14" t="s">
        <v>60</v>
      </c>
    </row>
    <row r="17" spans="1:9" x14ac:dyDescent="0.2">
      <c r="A17" s="2">
        <f t="shared" ref="A17:A22" si="1">RANK(G17,$G$17:$G$22)</f>
        <v>1</v>
      </c>
      <c r="B17" s="2" t="s">
        <v>32</v>
      </c>
      <c r="C17" s="15" t="s">
        <v>61</v>
      </c>
      <c r="D17" s="16">
        <f>Luxury!B35</f>
        <v>0.16666666666666666</v>
      </c>
      <c r="E17" s="16">
        <f>Luxury!B82</f>
        <v>0.16666666666666666</v>
      </c>
      <c r="F17" s="16">
        <f>Luxury!B129</f>
        <v>0.16666666666666666</v>
      </c>
      <c r="G17" s="17">
        <f>'Criteria Weights'!B20*D17+'Criteria Weights'!B21*E17+'Criteria Weights'!B22*F17</f>
        <v>0.16666666666666666</v>
      </c>
    </row>
    <row r="18" spans="1:9" x14ac:dyDescent="0.2">
      <c r="A18" s="2">
        <f t="shared" si="1"/>
        <v>1</v>
      </c>
      <c r="B18" s="2" t="s">
        <v>33</v>
      </c>
      <c r="C18" s="15" t="s">
        <v>62</v>
      </c>
      <c r="D18" s="16">
        <f>Luxury!B36</f>
        <v>0.16666666666666666</v>
      </c>
      <c r="E18" s="16">
        <f>Luxury!B83</f>
        <v>0.16666666666666666</v>
      </c>
      <c r="F18" s="16">
        <f>Luxury!B130</f>
        <v>0.16666666666666666</v>
      </c>
      <c r="G18" s="17">
        <f>'Criteria Weights'!B20*D18+'Criteria Weights'!B21*E18+'Criteria Weights'!B22*F18</f>
        <v>0.16666666666666666</v>
      </c>
    </row>
    <row r="19" spans="1:9" x14ac:dyDescent="0.2">
      <c r="A19" s="2">
        <f t="shared" si="1"/>
        <v>1</v>
      </c>
      <c r="B19" s="2" t="s">
        <v>34</v>
      </c>
      <c r="C19" s="15" t="s">
        <v>63</v>
      </c>
      <c r="D19" s="16">
        <f>Luxury!B37</f>
        <v>0.16666666666666666</v>
      </c>
      <c r="E19" s="16">
        <f>Luxury!B84</f>
        <v>0.16666666666666666</v>
      </c>
      <c r="F19" s="16">
        <f>Luxury!B131</f>
        <v>0.16666666666666666</v>
      </c>
      <c r="G19" s="17">
        <f>'Criteria Weights'!B20*D19+'Criteria Weights'!B21*E19+'Criteria Weights'!B22*F19</f>
        <v>0.16666666666666666</v>
      </c>
    </row>
    <row r="20" spans="1:9" x14ac:dyDescent="0.2">
      <c r="A20" s="2">
        <f t="shared" si="1"/>
        <v>1</v>
      </c>
      <c r="B20" s="2" t="s">
        <v>35</v>
      </c>
      <c r="C20" s="15" t="s">
        <v>64</v>
      </c>
      <c r="D20" s="16">
        <f>Luxury!B38</f>
        <v>0.16666666666666666</v>
      </c>
      <c r="E20" s="16">
        <f>Luxury!B85</f>
        <v>0.16666666666666666</v>
      </c>
      <c r="F20" s="16">
        <f>Luxury!B132</f>
        <v>0.16666666666666666</v>
      </c>
      <c r="G20" s="17">
        <f>'Criteria Weights'!B20*D20+'Criteria Weights'!B21*E20+'Criteria Weights'!B22*F20</f>
        <v>0.16666666666666666</v>
      </c>
    </row>
    <row r="21" spans="1:9" x14ac:dyDescent="0.2">
      <c r="A21" s="2">
        <f t="shared" si="1"/>
        <v>1</v>
      </c>
      <c r="B21" s="2" t="s">
        <v>36</v>
      </c>
      <c r="C21" s="15" t="s">
        <v>65</v>
      </c>
      <c r="D21" s="16">
        <f>Luxury!B39</f>
        <v>0.16666666666666666</v>
      </c>
      <c r="E21" s="16">
        <f>Luxury!B86</f>
        <v>0.16666666666666666</v>
      </c>
      <c r="F21" s="16">
        <f>Luxury!B133</f>
        <v>0.16666666666666666</v>
      </c>
      <c r="G21" s="17">
        <f>'Criteria Weights'!B20*D21+'Criteria Weights'!B21*E21+'Criteria Weights'!B22*F21</f>
        <v>0.16666666666666666</v>
      </c>
    </row>
    <row r="22" spans="1:9" x14ac:dyDescent="0.2">
      <c r="A22" s="2">
        <f t="shared" si="1"/>
        <v>1</v>
      </c>
      <c r="B22" s="2" t="s">
        <v>37</v>
      </c>
      <c r="C22" s="15" t="s">
        <v>66</v>
      </c>
      <c r="D22" s="16">
        <f>Luxury!B40</f>
        <v>0.16666666666666666</v>
      </c>
      <c r="E22" s="16">
        <f>Luxury!B87</f>
        <v>0.16666666666666666</v>
      </c>
      <c r="F22" s="16">
        <f>Luxury!B134</f>
        <v>0.16666666666666666</v>
      </c>
      <c r="G22" s="17">
        <f>'Criteria Weights'!B20*D22+'Criteria Weights'!B21*E22+'Criteria Weights'!B22*F22</f>
        <v>0.16666666666666666</v>
      </c>
    </row>
    <row r="25" spans="1:9" ht="20" customHeight="1" x14ac:dyDescent="0.2">
      <c r="A25" s="21" t="s">
        <v>68</v>
      </c>
      <c r="B25" s="19"/>
      <c r="C25" s="19"/>
      <c r="D25" s="19"/>
      <c r="E25" s="19"/>
      <c r="F25" s="19"/>
      <c r="G25" s="19"/>
      <c r="H25" s="19"/>
      <c r="I25" s="19"/>
    </row>
    <row r="26" spans="1:9" ht="30" customHeight="1" x14ac:dyDescent="0.2">
      <c r="A26" s="14" t="s">
        <v>54</v>
      </c>
      <c r="B26" s="14" t="s">
        <v>55</v>
      </c>
      <c r="C26" s="14" t="s">
        <v>56</v>
      </c>
      <c r="D26" s="14" t="s">
        <v>57</v>
      </c>
      <c r="E26" s="14" t="s">
        <v>58</v>
      </c>
      <c r="F26" s="14" t="s">
        <v>59</v>
      </c>
      <c r="G26" s="14" t="s">
        <v>60</v>
      </c>
    </row>
    <row r="27" spans="1:9" x14ac:dyDescent="0.2">
      <c r="A27" s="2">
        <f t="shared" ref="A27:A32" si="2">RANK(G27,$G$27:$G$32)</f>
        <v>1</v>
      </c>
      <c r="B27" s="2" t="s">
        <v>32</v>
      </c>
      <c r="C27" s="15" t="s">
        <v>61</v>
      </c>
      <c r="D27" s="16">
        <f>Apparel!B35</f>
        <v>0.16666666666666666</v>
      </c>
      <c r="E27" s="16">
        <f>Apparel!B82</f>
        <v>0.16666666666666666</v>
      </c>
      <c r="F27" s="16">
        <f>Apparel!B129</f>
        <v>0.16666666666666666</v>
      </c>
      <c r="G27" s="17">
        <f>'Criteria Weights'!B20*D27+'Criteria Weights'!B21*E27+'Criteria Weights'!B22*F27</f>
        <v>0.16666666666666666</v>
      </c>
    </row>
    <row r="28" spans="1:9" x14ac:dyDescent="0.2">
      <c r="A28" s="2">
        <f t="shared" si="2"/>
        <v>1</v>
      </c>
      <c r="B28" s="2" t="s">
        <v>33</v>
      </c>
      <c r="C28" s="15" t="s">
        <v>62</v>
      </c>
      <c r="D28" s="16">
        <f>Apparel!B36</f>
        <v>0.16666666666666666</v>
      </c>
      <c r="E28" s="16">
        <f>Apparel!B83</f>
        <v>0.16666666666666666</v>
      </c>
      <c r="F28" s="16">
        <f>Apparel!B130</f>
        <v>0.16666666666666666</v>
      </c>
      <c r="G28" s="17">
        <f>'Criteria Weights'!B20*D28+'Criteria Weights'!B21*E28+'Criteria Weights'!B22*F28</f>
        <v>0.16666666666666666</v>
      </c>
    </row>
    <row r="29" spans="1:9" x14ac:dyDescent="0.2">
      <c r="A29" s="2">
        <f t="shared" si="2"/>
        <v>1</v>
      </c>
      <c r="B29" s="2" t="s">
        <v>34</v>
      </c>
      <c r="C29" s="15" t="s">
        <v>63</v>
      </c>
      <c r="D29" s="16">
        <f>Apparel!B37</f>
        <v>0.16666666666666666</v>
      </c>
      <c r="E29" s="16">
        <f>Apparel!B84</f>
        <v>0.16666666666666666</v>
      </c>
      <c r="F29" s="16">
        <f>Apparel!B131</f>
        <v>0.16666666666666666</v>
      </c>
      <c r="G29" s="17">
        <f>'Criteria Weights'!B20*D29+'Criteria Weights'!B21*E29+'Criteria Weights'!B22*F29</f>
        <v>0.16666666666666666</v>
      </c>
    </row>
    <row r="30" spans="1:9" x14ac:dyDescent="0.2">
      <c r="A30" s="2">
        <f t="shared" si="2"/>
        <v>1</v>
      </c>
      <c r="B30" s="2" t="s">
        <v>35</v>
      </c>
      <c r="C30" s="15" t="s">
        <v>64</v>
      </c>
      <c r="D30" s="16">
        <f>Apparel!B38</f>
        <v>0.16666666666666666</v>
      </c>
      <c r="E30" s="16">
        <f>Apparel!B85</f>
        <v>0.16666666666666666</v>
      </c>
      <c r="F30" s="16">
        <f>Apparel!B132</f>
        <v>0.16666666666666666</v>
      </c>
      <c r="G30" s="17">
        <f>'Criteria Weights'!B20*D30+'Criteria Weights'!B21*E30+'Criteria Weights'!B22*F30</f>
        <v>0.16666666666666666</v>
      </c>
    </row>
    <row r="31" spans="1:9" x14ac:dyDescent="0.2">
      <c r="A31" s="2">
        <f t="shared" si="2"/>
        <v>1</v>
      </c>
      <c r="B31" s="2" t="s">
        <v>36</v>
      </c>
      <c r="C31" s="15" t="s">
        <v>65</v>
      </c>
      <c r="D31" s="16">
        <f>Apparel!B39</f>
        <v>0.16666666666666666</v>
      </c>
      <c r="E31" s="16">
        <f>Apparel!B86</f>
        <v>0.16666666666666666</v>
      </c>
      <c r="F31" s="16">
        <f>Apparel!B133</f>
        <v>0.16666666666666666</v>
      </c>
      <c r="G31" s="17">
        <f>'Criteria Weights'!B20*D31+'Criteria Weights'!B21*E31+'Criteria Weights'!B22*F31</f>
        <v>0.16666666666666666</v>
      </c>
    </row>
    <row r="32" spans="1:9" x14ac:dyDescent="0.2">
      <c r="A32" s="2">
        <f t="shared" si="2"/>
        <v>1</v>
      </c>
      <c r="B32" s="2" t="s">
        <v>37</v>
      </c>
      <c r="C32" s="15" t="s">
        <v>66</v>
      </c>
      <c r="D32" s="16">
        <f>Apparel!B40</f>
        <v>0.16666666666666666</v>
      </c>
      <c r="E32" s="16">
        <f>Apparel!B87</f>
        <v>0.16666666666666666</v>
      </c>
      <c r="F32" s="16">
        <f>Apparel!B134</f>
        <v>0.16666666666666666</v>
      </c>
      <c r="G32" s="17">
        <f>'Criteria Weights'!B20*D32+'Criteria Weights'!B21*E32+'Criteria Weights'!B22*F32</f>
        <v>0.16666666666666666</v>
      </c>
    </row>
  </sheetData>
  <mergeCells count="5">
    <mergeCell ref="A15:I15"/>
    <mergeCell ref="A25:I25"/>
    <mergeCell ref="A5:I5"/>
    <mergeCell ref="A1:I1"/>
    <mergeCell ref="A3:I3"/>
  </mergeCells>
  <conditionalFormatting sqref="A4:A100">
    <cfRule type="cellIs" dxfId="0" priority="1" operator="equal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Criteria Weights</vt:lpstr>
      <vt:lpstr>Privacy</vt:lpstr>
      <vt:lpstr>Luxury</vt:lpstr>
      <vt:lpstr>Apparel</vt:lpstr>
      <vt:lpstr>Final 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Sherry Nasser</cp:lastModifiedBy>
  <dcterms:created xsi:type="dcterms:W3CDTF">2026-06-19T09:04:44Z</dcterms:created>
  <dcterms:modified xsi:type="dcterms:W3CDTF">2026-06-28T08:22:59Z</dcterms:modified>
</cp:coreProperties>
</file>