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riteria Weights" sheetId="2" state="visible" r:id="rId4"/>
    <sheet name="Privacy" sheetId="3" state="visible" r:id="rId5"/>
    <sheet name="Luxury" sheetId="4" state="visible" r:id="rId6"/>
    <sheet name="Apparel" sheetId="5" state="visible" r:id="rId7"/>
    <sheet name="Final Sco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<sst xmlns="http://schemas.openxmlformats.org/spreadsheetml/2006/main" count="682" uniqueCount="69">
  <si>
    <t xml:space="preserve">AHP Calculator — Instructions</t>
  </si>
  <si>
    <t xml:space="preserve">1. Print or send the companion file AHP_Expert_Survey.docx to your marketing expert(s).</t>
  </si>
  <si>
    <t xml:space="preserve">2. Once the expert returns the completed survey, open this workbook.</t>
  </si>
  <si>
    <t xml:space="preserve">3. Go to the 'Criteria Weights' sheet and enter the expert's ratings in the YELLOW input cells, following the same +1 to +9 / -1 to -9 convention used in the survey (positive = left item preferred, negative = right item preferred).</t>
  </si>
  <si>
    <t xml:space="preserve">4. Go to each dataset sheet (Privacy / Luxury / Apparel) and enter the 15 pairwise ratings for each of the three criteria (Fidelity, Utility, Privacy) in the YELLOW input cells.</t>
  </si>
  <si>
    <t xml:space="preserve">5. All weights, Consistency Ratios (CR), and the final composite AHP score update AUTOMATICALLY as you type — no manual calculation needed.</t>
  </si>
  <si>
    <t xml:space="preserve">6. Check the 'Consistent?' flag after each block. If it shows '✗ FAIL', the judgements for that block are not logically consistent (CR ≥ 0.10) — ask the expert to review and revise those specific pairwise ratings.</t>
  </si>
  <si>
    <t xml:space="preserve">7. The 'Final Scores' sheet aggregates everything into the final ranked AHP composite score per experiment, per dataset.</t>
  </si>
  <si>
    <t xml:space="preserve">8. If multiple experts complete the survey, duplicate this workbook per expert, then average the final weight vectors across experts (geometric mean is preferred for AHP aggregation).</t>
  </si>
  <si>
    <t xml:space="preserve">Part A — Criteria Pairwise Comparison</t>
  </si>
  <si>
    <t xml:space="preserve">Criteria Comparison: Fidelity vs Utility vs Privacy</t>
  </si>
  <si>
    <t xml:space="preserve">Enter the expert's rating from the survey Part A. Positive = left item (Item A) preferred; negative = right item (Item B) preferred. Example: Fidelity vs Utility, rating +3 means 'Fidelity is moderately more important than Utility'.</t>
  </si>
  <si>
    <t xml:space="preserve">Item A</t>
  </si>
  <si>
    <t xml:space="preserve">Item B</t>
  </si>
  <si>
    <t xml:space="preserve">Rating
(+1 to +9 = A wins;
-1 to -9 = B wins)</t>
  </si>
  <si>
    <t xml:space="preserve">Fidelity</t>
  </si>
  <si>
    <t xml:space="preserve">Utility</t>
  </si>
  <si>
    <t xml:space="preserve">Privacy</t>
  </si>
  <si>
    <t xml:space="preserve">Pairwise Comparison Matrix (auto-calculated)</t>
  </si>
  <si>
    <t xml:space="preserve">Column Sum</t>
  </si>
  <si>
    <t xml:space="preserve">Normalized Weights</t>
  </si>
  <si>
    <t xml:space="preserve">Item</t>
  </si>
  <si>
    <t xml:space="preserve">Priority Weight</t>
  </si>
  <si>
    <t xml:space="preserve">Consistency Check</t>
  </si>
  <si>
    <t xml:space="preserve">λ max</t>
  </si>
  <si>
    <t xml:space="preserve">CI = (λmax - n) / (n-1)</t>
  </si>
  <si>
    <t xml:space="preserve">RI (n=3)</t>
  </si>
  <si>
    <t xml:space="preserve">CR = CI / RI</t>
  </si>
  <si>
    <t xml:space="preserve">Consistent? (CR &lt; 0.10)</t>
  </si>
  <si>
    <t xml:space="preserve">Part B — Privacy Dataset — Alternative Comparison</t>
  </si>
  <si>
    <t xml:space="preserve">Fidelity — Compare E1 through E6</t>
  </si>
  <si>
    <t xml:space="preserve">Enter the expert's 15 pairwise ratings for Fidelity from the survey (Part B, Privacy dataset, Fidelity section). Positive = left experiment preferred; negative = right experiment preferred.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</si>
  <si>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</si>
  <si>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</si>
  <si>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</si>
  <si>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</si>
  <si>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</si>
  <si>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</si>
  <si>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RI (n=6)</t>
  </si>
  <si>
    <t xml:space="preserve">Utility — Compare E1 through E6</t>
  </si>
  <si>
    <t xml:space="preserve">Enter the expert's 15 pairwise ratings for Utility from the survey (Part B, Privacy dataset, Utility section). Positive = left experiment preferred; negative = right experiment preferred.</t>
  </si>
  <si>
    <t xml:space="preserve">Privacy — Compare E1 through E6</t>
  </si>
  <si>
    <t xml:space="preserve">Enter the expert's 15 pairwise ratings for Privacy from the survey (Part B, Privacy dataset, Privacy section). Positive = left experiment preferred; negative = right experiment preferred.</t>
  </si>
  <si>
    <t xml:space="preserve">Part B — Luxury Dataset — Alternative Comparison</t>
  </si>
  <si>
    <t xml:space="preserve">Enter the expert's 15 pairwise ratings for Fidelity from the survey (Part B, Luxury dataset, Fidelity section). Positive = left experiment preferred; negative = right experiment preferred.</t>
  </si>
  <si>
    <t xml:space="preserve">Enter the expert's 15 pairwise ratings for Utility from the survey (Part B, Luxury dataset, Utility section). Positive = left experiment preferred; negative = right experiment preferred.</t>
  </si>
  <si>
    <t xml:space="preserve">Enter the expert's 15 pairwise ratings for Privacy from the survey (Part B, Luxury dataset, Privacy section). Positive = left experiment preferred; negative = right experiment preferred.</t>
  </si>
  <si>
    <t xml:space="preserve">Part B — Apparel Dataset — Alternative Comparison</t>
  </si>
  <si>
    <t xml:space="preserve">Enter the expert's 15 pairwise ratings for Fidelity from the survey (Part B, Apparel dataset, Fidelity section). Positive = left experiment preferred; negative = right experiment preferred.</t>
  </si>
  <si>
    <t xml:space="preserve">Enter the expert's 15 pairwise ratings for Utility from the survey (Part B, Apparel dataset, Utility section). Positive = left experiment preferred; negative = right experiment preferred.</t>
  </si>
  <si>
    <t xml:space="preserve">Enter the expert's 15 pairwise ratings for Privacy from the survey (Part B, Apparel dataset, Privacy section). Positive = left experiment preferred; negative = right experiment preferred.</t>
  </si>
  <si>
    <t xml:space="preserve">Final AHP Composite Scores (auto-calculated)</t>
  </si>
  <si>
    <t xml:space="preserve">Composite Score = w(Fidelity)×Fid_weight(Exp) + w(Utility)×Util_weight(Exp) + w(Privacy)×Priv_weight(Exp)</t>
  </si>
  <si>
    <t xml:space="preserve">Dataset: Privacy</t>
  </si>
  <si>
    <t xml:space="preserve">Rank</t>
  </si>
  <si>
    <t xml:space="preserve">Experiment</t>
  </si>
  <si>
    <t xml:space="preserve">Method</t>
  </si>
  <si>
    <t xml:space="preserve">Fidelity
weight</t>
  </si>
  <si>
    <t xml:space="preserve">Utility
weight</t>
  </si>
  <si>
    <t xml:space="preserve">Privacy
weight</t>
  </si>
  <si>
    <t xml:space="preserve">Composite
Score</t>
  </si>
  <si>
    <t xml:space="preserve">LLM Baseline</t>
  </si>
  <si>
    <t xml:space="preserve">CTGAN Global</t>
  </si>
  <si>
    <t xml:space="preserve">Copula Global</t>
  </si>
  <si>
    <t xml:space="preserve">LLM + Segmentation</t>
  </si>
  <si>
    <t xml:space="preserve">Copula + Segmentation</t>
  </si>
  <si>
    <t xml:space="preserve">CTGAN + Segmentation</t>
  </si>
  <si>
    <t xml:space="preserve">Dataset: Luxury</t>
  </si>
  <si>
    <t xml:space="preserve">Dataset: Apparel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</si>
</sst>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0.0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name val="Calibri"/>
      <family val="0"/>
      <charset val="1"/>
    </font>
    <font>
      <i val="true"/>
      <sz val="10"/>
      <color rgb="FF66666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D4E"/>
        <bgColor rgb="FF2E4057"/>
      </patternFill>
    </fill>
    <fill>
      <patternFill patternType="solid">
        <fgColor rgb="FF2E4057"/>
        <bgColor rgb="FF1F2D4E"/>
      </patternFill>
    </fill>
    <fill>
      <patternFill patternType="solid">
        <fgColor rgb="FFFFF9E6"/>
        <bgColor rgb="FFFFFFFF"/>
      </patternFill>
    </fill>
    <fill>
      <patternFill patternType="solid">
        <fgColor rgb="FFEAF1F8"/>
        <bgColor rgb="FFFFF9E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1F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6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36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36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36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36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6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6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6" hidden="false" customHeight="true" outlineLevel="0" collapsed="false">
      <c r="A10" s="2" t="s">
        <v>8</v>
      </c>
      <c r="B10" s="2"/>
      <c r="C10" s="2"/>
      <c r="D10" s="2"/>
      <c r="E10" s="2"/>
      <c r="F10" s="2"/>
    </row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6" colorId="64" zoomScale="150" zoomScaleNormal="15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14"/>
    <col collapsed="false" customWidth="true" hidden="false" outlineLevel="0" max="3" min="3" style="0" width="37.5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3" t="s">
        <v>9</v>
      </c>
      <c r="B1" s="3"/>
      <c r="C1" s="3"/>
      <c r="D1" s="3"/>
      <c r="E1" s="3"/>
      <c r="F1" s="3"/>
    </row>
    <row r="3" customFormat="false" ht="19.5" hidden="false" customHeight="true" outlineLevel="0" collapsed="false">
      <c r="A3" s="4" t="s">
        <v>10</v>
      </c>
      <c r="B3" s="4"/>
      <c r="C3" s="4"/>
      <c r="D3" s="4"/>
      <c r="E3" s="4"/>
      <c r="F3" s="4"/>
    </row>
    <row r="4" customFormat="false" ht="24" hidden="false" customHeight="true" outlineLevel="0" collapsed="false">
      <c r="A4" s="5" t="s">
        <v>11</v>
      </c>
      <c r="B4" s="5"/>
      <c r="C4" s="5"/>
      <c r="D4" s="5"/>
      <c r="E4" s="5"/>
      <c r="F4" s="5"/>
    </row>
    <row r="5" customFormat="false" ht="42" hidden="false" customHeight="true" outlineLevel="0" collapsed="false">
      <c r="A5" s="6" t="s">
        <v>12</v>
      </c>
      <c r="B5" s="6" t="s">
        <v>13</v>
      </c>
      <c r="C5" s="6" t="s">
        <v>14</v>
      </c>
    </row>
    <row r="6" customFormat="false" ht="15" hidden="false" customHeight="false" outlineLevel="0" collapsed="false">
      <c r="A6" s="7" t="s">
        <v>15</v>
      </c>
      <c r="B6" s="7" t="s">
        <v>16</v>
      </c>
      <c r="C6" s="8" t="n">
        <v>1.3797</v>
      </c>
    </row>
    <row r="7" customFormat="false" ht="15" hidden="false" customHeight="false" outlineLevel="0" collapsed="false">
      <c r="A7" s="7" t="s">
        <v>15</v>
      </c>
      <c r="B7" s="7" t="s">
        <v>17</v>
      </c>
      <c r="C7" s="8" t="n">
        <v>1.2457</v>
      </c>
    </row>
    <row r="8" customFormat="false" ht="15" hidden="false" customHeight="false" outlineLevel="0" collapsed="false">
      <c r="A8" s="7" t="s">
        <v>16</v>
      </c>
      <c r="B8" s="7" t="s">
        <v>17</v>
      </c>
      <c r="C8" s="8" t="n">
        <v>1.7454</v>
      </c>
    </row>
    <row r="10" customFormat="false" ht="15" hidden="false" customHeight="false" outlineLevel="0" collapsed="false">
      <c r="A10" s="9" t="s">
        <v>18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B11" s="10" t="s">
        <v>15</v>
      </c>
      <c r="C11" s="10" t="s">
        <v>16</v>
      </c>
      <c r="D11" s="10" t="s">
        <v>17</v>
      </c>
    </row>
    <row r="12" customFormat="false" ht="15" hidden="false" customHeight="false" outlineLevel="0" collapsed="false">
      <c r="A12" s="11" t="s">
        <v>15</v>
      </c>
      <c r="B12" s="12" t="n">
        <f aca="false">1</f>
        <v>1</v>
      </c>
      <c r="C12" s="12" t="n">
        <f aca="false">IF(C6&gt;=0,IF(C6=0,1,C6),1/ABS(C6))</f>
        <v>1.3797</v>
      </c>
      <c r="D12" s="12" t="n">
        <f aca="false">IF(C7&gt;=0,IF(C7=0,1,C7),1/ABS(C7))</f>
        <v>1.2457</v>
      </c>
    </row>
    <row r="13" customFormat="false" ht="15" hidden="false" customHeight="false" outlineLevel="0" collapsed="false">
      <c r="A13" s="11" t="s">
        <v>16</v>
      </c>
      <c r="B13" s="12" t="n">
        <f aca="false">1/C12</f>
        <v>0.724795245343191</v>
      </c>
      <c r="C13" s="12" t="n">
        <f aca="false">1</f>
        <v>1</v>
      </c>
      <c r="D13" s="12" t="n">
        <f aca="false">IF(C8&gt;=0,IF(C8=0,1,C8),1/ABS(C8))</f>
        <v>1.7454</v>
      </c>
    </row>
    <row r="14" customFormat="false" ht="15" hidden="false" customHeight="false" outlineLevel="0" collapsed="false">
      <c r="A14" s="11" t="s">
        <v>17</v>
      </c>
      <c r="B14" s="12" t="n">
        <f aca="false">1/D12</f>
        <v>0.802761499558481</v>
      </c>
      <c r="C14" s="12" t="n">
        <f aca="false">1/D13</f>
        <v>0.572934570872006</v>
      </c>
      <c r="D14" s="12" t="n">
        <f aca="false">1</f>
        <v>1</v>
      </c>
    </row>
    <row r="16" customFormat="false" ht="15" hidden="false" customHeight="false" outlineLevel="0" collapsed="false">
      <c r="A16" s="13" t="s">
        <v>19</v>
      </c>
      <c r="B16" s="12" t="n">
        <f aca="false">SUM(B12:B14)</f>
        <v>2.52755674490167</v>
      </c>
      <c r="C16" s="12" t="n">
        <f aca="false">SUM(C12:C14)</f>
        <v>2.95263457087201</v>
      </c>
      <c r="D16" s="12" t="n">
        <f aca="false">SUM(D12:D14)</f>
        <v>3.9911</v>
      </c>
    </row>
    <row r="18" customFormat="false" ht="15" hidden="false" customHeight="false" outlineLevel="0" collapsed="false">
      <c r="A18" s="14" t="s">
        <v>20</v>
      </c>
    </row>
    <row r="19" customFormat="false" ht="15" hidden="false" customHeight="false" outlineLevel="0" collapsed="false">
      <c r="A19" s="10" t="s">
        <v>21</v>
      </c>
      <c r="B19" s="10" t="s">
        <v>22</v>
      </c>
    </row>
    <row r="20" customFormat="false" ht="15" hidden="false" customHeight="false" outlineLevel="0" collapsed="false">
      <c r="A20" s="7" t="s">
        <v>15</v>
      </c>
      <c r="B20" s="15" t="n">
        <f aca="false">AVERAGE(B12/B16,C12/C16,D12/D16)</f>
        <v>0.391678686027841</v>
      </c>
    </row>
    <row r="21" customFormat="false" ht="15" hidden="false" customHeight="false" outlineLevel="0" collapsed="false">
      <c r="A21" s="7" t="s">
        <v>16</v>
      </c>
      <c r="B21" s="15" t="n">
        <f aca="false">AVERAGE(B13/B16,C13/C16,D13/D16)</f>
        <v>0.354253628992985</v>
      </c>
    </row>
    <row r="22" customFormat="false" ht="15" hidden="false" customHeight="false" outlineLevel="0" collapsed="false">
      <c r="A22" s="7" t="s">
        <v>17</v>
      </c>
      <c r="B22" s="15" t="n">
        <f aca="false">AVERAGE(B14/B16,C14/C16,D14/D16)</f>
        <v>0.254067684979174</v>
      </c>
    </row>
    <row r="24" customFormat="false" ht="15" hidden="false" customHeight="false" outlineLevel="0" collapsed="false">
      <c r="A24" s="14" t="s">
        <v>23</v>
      </c>
    </row>
    <row r="25" customFormat="false" ht="15" hidden="false" customHeight="false" outlineLevel="0" collapsed="false">
      <c r="A25" s="0" t="s">
        <v>24</v>
      </c>
      <c r="B25" s="16" t="n">
        <f aca="false">AVERAGE(((B12*B20+C12*B21+D12*B22)/B20),((B13*B20+C13*B21+D13*B22)/B21),((B14*B20+C14*B21+D14*B22)/B22))</f>
        <v>3.04849406815627</v>
      </c>
    </row>
    <row r="26" customFormat="false" ht="15" hidden="false" customHeight="false" outlineLevel="0" collapsed="false">
      <c r="A26" s="0" t="s">
        <v>25</v>
      </c>
      <c r="B26" s="16" t="n">
        <f aca="false">(B25-3)/2</f>
        <v>0.0242470340781331</v>
      </c>
    </row>
    <row r="27" customFormat="false" ht="15" hidden="false" customHeight="false" outlineLevel="0" collapsed="false">
      <c r="A27" s="0" t="s">
        <v>26</v>
      </c>
      <c r="B27" s="17" t="n">
        <v>0.58</v>
      </c>
    </row>
    <row r="28" customFormat="false" ht="15" hidden="false" customHeight="false" outlineLevel="0" collapsed="false">
      <c r="A28" s="18" t="s">
        <v>27</v>
      </c>
      <c r="B28" s="19" t="n">
        <f aca="false">IF(B27=0,0,B26/B27)</f>
        <v>0.041805231169195</v>
      </c>
    </row>
    <row r="29" customFormat="false" ht="15" hidden="false" customHeight="false" outlineLevel="0" collapsed="false">
      <c r="A29" s="18" t="s">
        <v>28</v>
      </c>
      <c r="B29" s="11" t="str">
        <f aca="false">IF(B28&lt;0.1,"✓ PASS","✗ FAIL — revise judgements")</f>
        <v>✓ PASS</v>
      </c>
    </row>
  </sheetData>
  <mergeCells count="4">
    <mergeCell ref="A1:F1"/>
    <mergeCell ref="A3:F3"/>
    <mergeCell ref="A4:F4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34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0.6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3" t="s">
        <v>29</v>
      </c>
      <c r="B1" s="3"/>
      <c r="C1" s="3"/>
      <c r="D1" s="3"/>
      <c r="E1" s="3"/>
      <c r="F1" s="3"/>
    </row>
    <row r="3" customFormat="false" ht="19.5" hidden="false" customHeight="true" outlineLevel="0" collapsed="false">
      <c r="A3" s="4" t="s">
        <v>30</v>
      </c>
      <c r="B3" s="4"/>
      <c r="C3" s="4"/>
      <c r="D3" s="4"/>
      <c r="E3" s="4"/>
      <c r="F3" s="4"/>
    </row>
    <row r="4" customFormat="false" ht="27.75" hidden="false" customHeight="true" outlineLevel="0" collapsed="false">
      <c r="A4" s="5" t="s">
        <v>31</v>
      </c>
      <c r="B4" s="5"/>
      <c r="C4" s="5"/>
      <c r="D4" s="5"/>
      <c r="E4" s="5"/>
      <c r="F4" s="5"/>
    </row>
    <row r="5" customFormat="false" ht="54.75" hidden="false" customHeight="true" outlineLevel="0" collapsed="false">
      <c r="A5" s="6" t="s">
        <v>12</v>
      </c>
      <c r="B5" s="6" t="s">
        <v>13</v>
      </c>
      <c r="C5" s="6" t="s">
        <v>14</v>
      </c>
    </row>
    <row r="6" customFormat="false" ht="15" hidden="false" customHeight="false" outlineLevel="0" collapsed="false">
      <c r="A6" s="7" t="s">
        <v>32</v>
      </c>
      <c r="B6" s="7" t="s">
        <v>33</v>
      </c>
      <c r="C6" s="8" t="n">
        <v>-2.5324</v>
      </c>
    </row>
    <row r="7" customFormat="false" ht="15" hidden="false" customHeight="false" outlineLevel="0" collapsed="false">
      <c r="A7" s="7" t="s">
        <v>32</v>
      </c>
      <c r="B7" s="7" t="s">
        <v>34</v>
      </c>
      <c r="C7" s="8" t="n">
        <v>1.6599</v>
      </c>
    </row>
    <row r="8" customFormat="false" ht="15" hidden="false" customHeight="false" outlineLevel="0" collapsed="false">
      <c r="A8" s="7" t="s">
        <v>32</v>
      </c>
      <c r="B8" s="7" t="s">
        <v>35</v>
      </c>
      <c r="C8" s="8" t="n">
        <v>-2.2515</v>
      </c>
    </row>
    <row r="9" customFormat="false" ht="15" hidden="false" customHeight="false" outlineLevel="0" collapsed="false">
      <c r="A9" s="7" t="s">
        <v>32</v>
      </c>
      <c r="B9" s="7" t="s">
        <v>36</v>
      </c>
      <c r="C9" s="8" t="n">
        <v>1</v>
      </c>
    </row>
    <row r="10" customFormat="false" ht="15" hidden="false" customHeight="false" outlineLevel="0" collapsed="false">
      <c r="A10" s="7" t="s">
        <v>32</v>
      </c>
      <c r="B10" s="7" t="s">
        <v>37</v>
      </c>
      <c r="C10" s="8" t="n">
        <v>1.0696</v>
      </c>
    </row>
    <row r="11" customFormat="false" ht="15" hidden="false" customHeight="false" outlineLevel="0" collapsed="false">
      <c r="A11" s="7" t="s">
        <v>33</v>
      </c>
      <c r="B11" s="7" t="s">
        <v>34</v>
      </c>
      <c r="C11" s="8" t="n">
        <v>-1.1247</v>
      </c>
    </row>
    <row r="12" customFormat="false" ht="15" hidden="false" customHeight="false" outlineLevel="0" collapsed="false">
      <c r="A12" s="7" t="s">
        <v>33</v>
      </c>
      <c r="B12" s="7" t="s">
        <v>35</v>
      </c>
      <c r="C12" s="8" t="n">
        <v>1.1076</v>
      </c>
    </row>
    <row r="13" customFormat="false" ht="15" hidden="false" customHeight="false" outlineLevel="0" collapsed="false">
      <c r="A13" s="7" t="s">
        <v>33</v>
      </c>
      <c r="B13" s="7" t="s">
        <v>36</v>
      </c>
      <c r="C13" s="8" t="n">
        <v>1.1076</v>
      </c>
    </row>
    <row r="14" customFormat="false" ht="15" hidden="false" customHeight="false" outlineLevel="0" collapsed="false">
      <c r="A14" s="7" t="s">
        <v>33</v>
      </c>
      <c r="B14" s="7" t="s">
        <v>37</v>
      </c>
      <c r="C14" s="8" t="n">
        <v>-1.1247</v>
      </c>
    </row>
    <row r="15" customFormat="false" ht="15" hidden="false" customHeight="false" outlineLevel="0" collapsed="false">
      <c r="A15" s="7" t="s">
        <v>34</v>
      </c>
      <c r="B15" s="7" t="s">
        <v>35</v>
      </c>
      <c r="C15" s="8" t="n">
        <v>-1.1247</v>
      </c>
    </row>
    <row r="16" customFormat="false" ht="15" hidden="false" customHeight="false" outlineLevel="0" collapsed="false">
      <c r="A16" s="7" t="s">
        <v>34</v>
      </c>
      <c r="B16" s="7" t="s">
        <v>36</v>
      </c>
      <c r="C16" s="8" t="n">
        <v>-1.1247</v>
      </c>
    </row>
    <row r="17" customFormat="false" ht="15" hidden="false" customHeight="false" outlineLevel="0" collapsed="false">
      <c r="A17" s="7" t="s">
        <v>34</v>
      </c>
      <c r="B17" s="7" t="s">
        <v>37</v>
      </c>
      <c r="C17" s="8" t="n">
        <v>1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8" t="n">
        <v>1.0696</v>
      </c>
    </row>
    <row r="19" customFormat="false" ht="15" hidden="false" customHeight="false" outlineLevel="0" collapsed="false">
      <c r="A19" s="7" t="s">
        <v>35</v>
      </c>
      <c r="B19" s="7" t="s">
        <v>37</v>
      </c>
      <c r="C19" s="8" t="n">
        <v>-1.0696</v>
      </c>
    </row>
    <row r="20" customFormat="false" ht="15" hidden="false" customHeight="false" outlineLevel="0" collapsed="false">
      <c r="A20" s="7" t="s">
        <v>36</v>
      </c>
      <c r="B20" s="7" t="s">
        <v>37</v>
      </c>
      <c r="C20" s="8" t="n">
        <v>-1.3324</v>
      </c>
    </row>
    <row r="22" customFormat="false" ht="15" hidden="false" customHeight="false" outlineLevel="0" collapsed="false">
      <c r="A22" s="9" t="s">
        <v>18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B23" s="10" t="s">
        <v>32</v>
      </c>
      <c r="C23" s="10" t="s">
        <v>33</v>
      </c>
      <c r="D23" s="10" t="s">
        <v>34</v>
      </c>
      <c r="E23" s="10" t="s">
        <v>35</v>
      </c>
      <c r="F23" s="10" t="s">
        <v>36</v>
      </c>
      <c r="G23" s="10" t="s">
        <v>37</v>
      </c>
    </row>
    <row r="24" customFormat="false" ht="15" hidden="false" customHeight="false" outlineLevel="0" collapsed="false">
      <c r="A24" s="11" t="s">
        <v>32</v>
      </c>
      <c r="B24" s="12" t="n">
        <f aca="false">1</f>
        <v>1</v>
      </c>
      <c r="C24" s="12" t="n">
        <f aca="false">IF(C6&gt;=0,IF(C6=0,1,C6),1/ABS(C6))</f>
        <v>0.39488232506713</v>
      </c>
      <c r="D24" s="12" t="n">
        <f aca="false">IF(C7&gt;=0,IF(C7=0,1,C7),1/ABS(C7))</f>
        <v>1.6599</v>
      </c>
      <c r="E24" s="12" t="n">
        <f aca="false">IF(C8&gt;=0,IF(C8=0,1,C8),1/ABS(C8))</f>
        <v>0.444148345547413</v>
      </c>
      <c r="F24" s="12" t="n">
        <f aca="false">IF(C9&gt;=0,IF(C9=0,1,C9),1/ABS(C9))</f>
        <v>1</v>
      </c>
      <c r="G24" s="12" t="n">
        <f aca="false">IF(C10&gt;=0,IF(C10=0,1,C10),1/ABS(C10))</f>
        <v>1.0696</v>
      </c>
    </row>
    <row r="25" customFormat="false" ht="15" hidden="false" customHeight="false" outlineLevel="0" collapsed="false">
      <c r="A25" s="11" t="s">
        <v>33</v>
      </c>
      <c r="B25" s="12" t="n">
        <f aca="false">1/C24</f>
        <v>2.5324</v>
      </c>
      <c r="C25" s="12" t="n">
        <f aca="false">1</f>
        <v>1</v>
      </c>
      <c r="D25" s="12" t="n">
        <f aca="false">IF(C11&gt;=0,IF(C11=0,1,C11),1/ABS(C11))</f>
        <v>0.889125989152663</v>
      </c>
      <c r="E25" s="12" t="n">
        <f aca="false">IF(C12&gt;=0,IF(C12=0,1,C12),1/ABS(C12))</f>
        <v>1.1076</v>
      </c>
      <c r="F25" s="12" t="n">
        <f aca="false">IF(C13&gt;=0,IF(C13=0,1,C13),1/ABS(C13))</f>
        <v>1.1076</v>
      </c>
      <c r="G25" s="12" t="n">
        <f aca="false">IF(C14&gt;=0,IF(C14=0,1,C14),1/ABS(C14))</f>
        <v>0.889125989152663</v>
      </c>
    </row>
    <row r="26" customFormat="false" ht="15" hidden="false" customHeight="false" outlineLevel="0" collapsed="false">
      <c r="A26" s="11" t="s">
        <v>34</v>
      </c>
      <c r="B26" s="12" t="n">
        <f aca="false">1/D24</f>
        <v>0.60244593047774</v>
      </c>
      <c r="C26" s="12" t="n">
        <f aca="false">1/D25</f>
        <v>1.1247</v>
      </c>
      <c r="D26" s="12" t="n">
        <f aca="false">1</f>
        <v>1</v>
      </c>
      <c r="E26" s="12" t="n">
        <f aca="false">IF(C15&gt;=0,IF(C15=0,1,C15),1/ABS(C15))</f>
        <v>0.889125989152663</v>
      </c>
      <c r="F26" s="12" t="n">
        <f aca="false">IF(C16&gt;=0,IF(C16=0,1,C16),1/ABS(C16))</f>
        <v>0.889125989152663</v>
      </c>
      <c r="G26" s="12" t="n">
        <f aca="false">IF(C17&gt;=0,IF(C17=0,1,C17),1/ABS(C17))</f>
        <v>1</v>
      </c>
    </row>
    <row r="27" customFormat="false" ht="15" hidden="false" customHeight="false" outlineLevel="0" collapsed="false">
      <c r="A27" s="11" t="s">
        <v>35</v>
      </c>
      <c r="B27" s="12" t="n">
        <f aca="false">1/E24</f>
        <v>2.2515</v>
      </c>
      <c r="C27" s="12" t="n">
        <f aca="false">1/E25</f>
        <v>0.902853015529072</v>
      </c>
      <c r="D27" s="12" t="n">
        <f aca="false">1/E26</f>
        <v>1.1247</v>
      </c>
      <c r="E27" s="12" t="n">
        <f aca="false">1</f>
        <v>1</v>
      </c>
      <c r="F27" s="12" t="n">
        <f aca="false">IF(C18&gt;=0,IF(C18=0,1,C18),1/ABS(C18))</f>
        <v>1.0696</v>
      </c>
      <c r="G27" s="12" t="n">
        <f aca="false">IF(C19&gt;=0,IF(C19=0,1,C19),1/ABS(C19))</f>
        <v>0.93492894540015</v>
      </c>
    </row>
    <row r="28" customFormat="false" ht="15" hidden="false" customHeight="false" outlineLevel="0" collapsed="false">
      <c r="A28" s="11" t="s">
        <v>36</v>
      </c>
      <c r="B28" s="12" t="n">
        <f aca="false">1/F24</f>
        <v>1</v>
      </c>
      <c r="C28" s="12" t="n">
        <f aca="false">1/F25</f>
        <v>0.902853015529072</v>
      </c>
      <c r="D28" s="12" t="n">
        <f aca="false">1/F26</f>
        <v>1.1247</v>
      </c>
      <c r="E28" s="12" t="n">
        <f aca="false">1/F27</f>
        <v>0.93492894540015</v>
      </c>
      <c r="F28" s="12" t="n">
        <f aca="false">1</f>
        <v>1</v>
      </c>
      <c r="G28" s="12" t="n">
        <f aca="false">IF(C20&gt;=0,IF(C20=0,1,C20),1/ABS(C20))</f>
        <v>0.75052536775743</v>
      </c>
    </row>
    <row r="29" customFormat="false" ht="15" hidden="false" customHeight="false" outlineLevel="0" collapsed="false">
      <c r="A29" s="11" t="s">
        <v>37</v>
      </c>
      <c r="B29" s="12" t="n">
        <f aca="false">1/G24</f>
        <v>0.93492894540015</v>
      </c>
      <c r="C29" s="12" t="n">
        <f aca="false">1/G25</f>
        <v>1.1247</v>
      </c>
      <c r="D29" s="12" t="n">
        <f aca="false">1/G26</f>
        <v>1</v>
      </c>
      <c r="E29" s="12" t="n">
        <f aca="false">1/G27</f>
        <v>1.0696</v>
      </c>
      <c r="F29" s="12" t="n">
        <f aca="false">1/G28</f>
        <v>1.3324</v>
      </c>
      <c r="G29" s="12" t="n">
        <f aca="false">1</f>
        <v>1</v>
      </c>
    </row>
    <row r="31" customFormat="false" ht="15" hidden="false" customHeight="false" outlineLevel="0" collapsed="false">
      <c r="A31" s="13" t="s">
        <v>19</v>
      </c>
      <c r="B31" s="12" t="n">
        <f aca="false">SUM(B24:B29)</f>
        <v>8.32127487587789</v>
      </c>
      <c r="C31" s="12" t="n">
        <f aca="false">SUM(C24:C29)</f>
        <v>5.44998835612527</v>
      </c>
      <c r="D31" s="12" t="n">
        <f aca="false">SUM(D24:D29)</f>
        <v>6.79842598915266</v>
      </c>
      <c r="E31" s="12" t="n">
        <f aca="false">SUM(E24:E29)</f>
        <v>5.44540328010023</v>
      </c>
      <c r="F31" s="12" t="n">
        <f aca="false">SUM(F24:F29)</f>
        <v>6.39872598915266</v>
      </c>
      <c r="G31" s="12" t="n">
        <f aca="false">SUM(G24:G29)</f>
        <v>5.64418030231024</v>
      </c>
    </row>
    <row r="33" customFormat="false" ht="15" hidden="false" customHeight="false" outlineLevel="0" collapsed="false">
      <c r="A33" s="14" t="s">
        <v>20</v>
      </c>
    </row>
    <row r="34" customFormat="false" ht="15" hidden="false" customHeight="false" outlineLevel="0" collapsed="false">
      <c r="A34" s="10" t="s">
        <v>21</v>
      </c>
      <c r="B34" s="10" t="s">
        <v>22</v>
      </c>
    </row>
    <row r="35" customFormat="false" ht="15" hidden="false" customHeight="false" outlineLevel="0" collapsed="false">
      <c r="A35" s="7" t="s">
        <v>32</v>
      </c>
      <c r="B35" s="15" t="n">
        <f aca="false">AVERAGE(B24/B31,C24/C31,D24/D31,E24/E31,F24/F31,G24/G31)</f>
        <v>0.144023153718685</v>
      </c>
    </row>
    <row r="36" customFormat="false" ht="15" hidden="false" customHeight="false" outlineLevel="0" collapsed="false">
      <c r="A36" s="7" t="s">
        <v>33</v>
      </c>
      <c r="B36" s="15" t="n">
        <f aca="false">AVERAGE(B25/B31,C25/C31,D25/D31,E25/E31,F25/F31,G25/G31)</f>
        <v>0.192104442745121</v>
      </c>
    </row>
    <row r="37" customFormat="false" ht="15" hidden="false" customHeight="false" outlineLevel="0" collapsed="false">
      <c r="A37" s="7" t="s">
        <v>34</v>
      </c>
      <c r="B37" s="15" t="n">
        <f aca="false">AVERAGE(B26/B31,C26/C31,D26/D31,E26/E31,F26/F31,G26/G31)</f>
        <v>0.150877649882809</v>
      </c>
    </row>
    <row r="38" customFormat="false" ht="15" hidden="false" customHeight="false" outlineLevel="0" collapsed="false">
      <c r="A38" s="7" t="s">
        <v>35</v>
      </c>
      <c r="B38" s="15" t="n">
        <f aca="false">AVERAGE(B27/B31,C27/C31,D27/D31,E27/E31,F27/F31,G27/G31)</f>
        <v>0.186352083975023</v>
      </c>
    </row>
    <row r="39" customFormat="false" ht="15" hidden="false" customHeight="false" outlineLevel="0" collapsed="false">
      <c r="A39" s="7" t="s">
        <v>36</v>
      </c>
      <c r="B39" s="15" t="n">
        <f aca="false">AVERAGE(B28/B31,C28/C31,D28/D31,E28/E31,F28/F31,G28/G31)</f>
        <v>0.152036089172922</v>
      </c>
    </row>
    <row r="40" customFormat="false" ht="15" hidden="false" customHeight="false" outlineLevel="0" collapsed="false">
      <c r="A40" s="7" t="s">
        <v>37</v>
      </c>
      <c r="B40" s="15" t="n">
        <f aca="false">AVERAGE(B29/B31,C29/C31,D29/D31,E29/E31,F29/F31,G29/G31)</f>
        <v>0.174606580505441</v>
      </c>
    </row>
    <row r="42" customFormat="false" ht="15" hidden="false" customHeight="false" outlineLevel="0" collapsed="false">
      <c r="A42" s="14" t="s">
        <v>23</v>
      </c>
    </row>
    <row r="43" customFormat="false" ht="15" hidden="false" customHeight="false" outlineLevel="0" collapsed="false">
      <c r="A43" s="0" t="s">
        <v>24</v>
      </c>
      <c r="B43" s="16" t="n">
        <f aca="false"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6.23729415308151</v>
      </c>
    </row>
    <row r="44" customFormat="false" ht="15" hidden="false" customHeight="false" outlineLevel="0" collapsed="false">
      <c r="A44" s="0" t="s">
        <v>25</v>
      </c>
      <c r="B44" s="16" t="n">
        <f aca="false">(B43-6)/5</f>
        <v>0.0474588306163021</v>
      </c>
    </row>
    <row r="45" customFormat="false" ht="15" hidden="false" customHeight="false" outlineLevel="0" collapsed="false">
      <c r="A45" s="0" t="s">
        <v>38</v>
      </c>
      <c r="B45" s="17" t="n">
        <v>1.24</v>
      </c>
    </row>
    <row r="46" customFormat="false" ht="15" hidden="false" customHeight="false" outlineLevel="0" collapsed="false">
      <c r="A46" s="18" t="s">
        <v>27</v>
      </c>
      <c r="B46" s="19" t="n">
        <f aca="false">IF(B45=0,0,B44/B45)</f>
        <v>0.0382732504970178</v>
      </c>
    </row>
    <row r="47" customFormat="false" ht="15" hidden="false" customHeight="false" outlineLevel="0" collapsed="false">
      <c r="A47" s="18" t="s">
        <v>28</v>
      </c>
      <c r="B47" s="11" t="str">
        <f aca="false">IF(B46&lt;0.1,"✓ PASS","✗ FAIL — revise judgements")</f>
        <v>✓ PASS</v>
      </c>
    </row>
    <row r="50" customFormat="false" ht="19.5" hidden="false" customHeight="true" outlineLevel="0" collapsed="false">
      <c r="A50" s="4" t="s">
        <v>39</v>
      </c>
      <c r="B50" s="4"/>
      <c r="C50" s="4"/>
      <c r="D50" s="4"/>
      <c r="E50" s="4"/>
      <c r="F50" s="4"/>
    </row>
    <row r="51" customFormat="false" ht="27.75" hidden="false" customHeight="true" outlineLevel="0" collapsed="false">
      <c r="A51" s="5" t="s">
        <v>40</v>
      </c>
      <c r="B51" s="5"/>
      <c r="C51" s="5"/>
      <c r="D51" s="5"/>
      <c r="E51" s="5"/>
      <c r="F51" s="5"/>
    </row>
    <row r="52" customFormat="false" ht="42.75" hidden="false" customHeight="true" outlineLevel="0" collapsed="false">
      <c r="A52" s="6" t="s">
        <v>12</v>
      </c>
      <c r="B52" s="6" t="s">
        <v>13</v>
      </c>
      <c r="C52" s="6" t="s">
        <v>14</v>
      </c>
    </row>
    <row r="53" customFormat="false" ht="15" hidden="false" customHeight="false" outlineLevel="0" collapsed="false">
      <c r="A53" s="7" t="s">
        <v>32</v>
      </c>
      <c r="B53" s="7" t="s">
        <v>33</v>
      </c>
      <c r="C53" s="8" t="n">
        <v>1.9332</v>
      </c>
    </row>
    <row r="54" customFormat="false" ht="15" hidden="false" customHeight="false" outlineLevel="0" collapsed="false">
      <c r="A54" s="7" t="s">
        <v>32</v>
      </c>
      <c r="B54" s="7" t="s">
        <v>34</v>
      </c>
      <c r="C54" s="8" t="n">
        <v>2.2902</v>
      </c>
    </row>
    <row r="55" customFormat="false" ht="15" hidden="false" customHeight="false" outlineLevel="0" collapsed="false">
      <c r="A55" s="7" t="s">
        <v>32</v>
      </c>
      <c r="B55" s="7" t="s">
        <v>35</v>
      </c>
      <c r="C55" s="8" t="n">
        <v>1.8384</v>
      </c>
    </row>
    <row r="56" customFormat="false" ht="15" hidden="false" customHeight="false" outlineLevel="0" collapsed="false">
      <c r="A56" s="7" t="s">
        <v>32</v>
      </c>
      <c r="B56" s="7" t="s">
        <v>36</v>
      </c>
      <c r="C56" s="8" t="n">
        <v>1.7188</v>
      </c>
    </row>
    <row r="57" customFormat="false" ht="15" hidden="false" customHeight="false" outlineLevel="0" collapsed="false">
      <c r="A57" s="7" t="s">
        <v>32</v>
      </c>
      <c r="B57" s="7" t="s">
        <v>37</v>
      </c>
      <c r="C57" s="8" t="n">
        <v>-1.9332</v>
      </c>
    </row>
    <row r="58" customFormat="false" ht="15" hidden="false" customHeight="false" outlineLevel="0" collapsed="false">
      <c r="A58" s="7" t="s">
        <v>33</v>
      </c>
      <c r="B58" s="7" t="s">
        <v>34</v>
      </c>
      <c r="C58" s="8" t="n">
        <v>1.3797</v>
      </c>
    </row>
    <row r="59" customFormat="false" ht="15" hidden="false" customHeight="false" outlineLevel="0" collapsed="false">
      <c r="A59" s="7" t="s">
        <v>33</v>
      </c>
      <c r="B59" s="7" t="s">
        <v>35</v>
      </c>
      <c r="C59" s="8" t="n">
        <v>1.4758</v>
      </c>
    </row>
    <row r="60" customFormat="false" ht="15" hidden="false" customHeight="false" outlineLevel="0" collapsed="false">
      <c r="A60" s="7" t="s">
        <v>33</v>
      </c>
      <c r="B60" s="7" t="s">
        <v>36</v>
      </c>
      <c r="C60" s="8" t="n">
        <v>1.5518</v>
      </c>
    </row>
    <row r="61" customFormat="false" ht="15" hidden="false" customHeight="false" outlineLevel="0" collapsed="false">
      <c r="A61" s="7" t="s">
        <v>33</v>
      </c>
      <c r="B61" s="7" t="s">
        <v>37</v>
      </c>
      <c r="C61" s="8" t="n">
        <v>1.6345</v>
      </c>
    </row>
    <row r="62" customFormat="false" ht="15" hidden="false" customHeight="false" outlineLevel="0" collapsed="false">
      <c r="A62" s="7" t="s">
        <v>34</v>
      </c>
      <c r="B62" s="7" t="s">
        <v>35</v>
      </c>
      <c r="C62" s="8" t="n">
        <v>1.8384</v>
      </c>
    </row>
    <row r="63" customFormat="false" ht="15" hidden="false" customHeight="false" outlineLevel="0" collapsed="false">
      <c r="A63" s="7" t="s">
        <v>34</v>
      </c>
      <c r="B63" s="7" t="s">
        <v>36</v>
      </c>
      <c r="C63" s="8" t="n">
        <v>1.4758</v>
      </c>
    </row>
    <row r="64" customFormat="false" ht="15" hidden="false" customHeight="false" outlineLevel="0" collapsed="false">
      <c r="A64" s="7" t="s">
        <v>34</v>
      </c>
      <c r="B64" s="7" t="s">
        <v>37</v>
      </c>
      <c r="C64" s="8" t="n">
        <v>1.1847</v>
      </c>
    </row>
    <row r="65" customFormat="false" ht="15" hidden="false" customHeight="false" outlineLevel="0" collapsed="false">
      <c r="A65" s="7" t="s">
        <v>35</v>
      </c>
      <c r="B65" s="7" t="s">
        <v>36</v>
      </c>
      <c r="C65" s="8" t="n">
        <v>1.4758</v>
      </c>
    </row>
    <row r="66" customFormat="false" ht="15" hidden="false" customHeight="false" outlineLevel="0" collapsed="false">
      <c r="A66" s="7" t="s">
        <v>35</v>
      </c>
      <c r="B66" s="7" t="s">
        <v>37</v>
      </c>
      <c r="C66" s="8" t="n">
        <v>1.2457</v>
      </c>
    </row>
    <row r="67" customFormat="false" ht="15" hidden="false" customHeight="false" outlineLevel="0" collapsed="false">
      <c r="A67" s="7" t="s">
        <v>36</v>
      </c>
      <c r="B67" s="7" t="s">
        <v>37</v>
      </c>
      <c r="C67" s="8" t="n">
        <v>1.2457</v>
      </c>
    </row>
    <row r="69" customFormat="false" ht="15" hidden="false" customHeight="false" outlineLevel="0" collapsed="false">
      <c r="A69" s="9" t="s">
        <v>18</v>
      </c>
      <c r="B69" s="9"/>
      <c r="C69" s="9"/>
      <c r="D69" s="9"/>
      <c r="E69" s="9"/>
      <c r="F69" s="9"/>
    </row>
    <row r="70" customFormat="false" ht="15" hidden="false" customHeight="false" outlineLevel="0" collapsed="false">
      <c r="B70" s="10" t="s">
        <v>32</v>
      </c>
      <c r="C70" s="10" t="s">
        <v>33</v>
      </c>
      <c r="D70" s="10" t="s">
        <v>34</v>
      </c>
      <c r="E70" s="10" t="s">
        <v>35</v>
      </c>
      <c r="F70" s="10" t="s">
        <v>36</v>
      </c>
      <c r="G70" s="10" t="s">
        <v>37</v>
      </c>
    </row>
    <row r="71" customFormat="false" ht="15" hidden="false" customHeight="false" outlineLevel="0" collapsed="false">
      <c r="A71" s="11" t="s">
        <v>32</v>
      </c>
      <c r="B71" s="12" t="n">
        <f aca="false">1</f>
        <v>1</v>
      </c>
      <c r="C71" s="12" t="n">
        <f aca="false">IF(C53&gt;=0,IF(C53=0,1,C53),1/ABS(C53))</f>
        <v>1.9332</v>
      </c>
      <c r="D71" s="12" t="n">
        <f aca="false">IF(C54&gt;=0,IF(C54=0,1,C54),1/ABS(C54))</f>
        <v>2.2902</v>
      </c>
      <c r="E71" s="12" t="n">
        <f aca="false">IF(C55&gt;=0,IF(C55=0,1,C55),1/ABS(C55))</f>
        <v>1.8384</v>
      </c>
      <c r="F71" s="12" t="n">
        <f aca="false">IF(C56&gt;=0,IF(C56=0,1,C56),1/ABS(C56))</f>
        <v>1.7188</v>
      </c>
      <c r="G71" s="12" t="n">
        <f aca="false">IF(C57&gt;=0,IF(C57=0,1,C57),1/ABS(C57))</f>
        <v>0.517277053589903</v>
      </c>
    </row>
    <row r="72" customFormat="false" ht="15" hidden="false" customHeight="false" outlineLevel="0" collapsed="false">
      <c r="A72" s="11" t="s">
        <v>33</v>
      </c>
      <c r="B72" s="12" t="n">
        <f aca="false">1/C71</f>
        <v>0.517277053589903</v>
      </c>
      <c r="C72" s="12" t="n">
        <f aca="false">1</f>
        <v>1</v>
      </c>
      <c r="D72" s="12" t="n">
        <f aca="false">IF(C58&gt;=0,IF(C58=0,1,C58),1/ABS(C58))</f>
        <v>1.3797</v>
      </c>
      <c r="E72" s="12" t="n">
        <f aca="false">IF(C59&gt;=0,IF(C59=0,1,C59),1/ABS(C59))</f>
        <v>1.4758</v>
      </c>
      <c r="F72" s="12" t="n">
        <f aca="false">IF(C60&gt;=0,IF(C60=0,1,C60),1/ABS(C60))</f>
        <v>1.5518</v>
      </c>
      <c r="G72" s="12" t="n">
        <f aca="false">IF(C61&gt;=0,IF(C61=0,1,C61),1/ABS(C61))</f>
        <v>1.6345</v>
      </c>
    </row>
    <row r="73" customFormat="false" ht="15" hidden="false" customHeight="false" outlineLevel="0" collapsed="false">
      <c r="A73" s="11" t="s">
        <v>34</v>
      </c>
      <c r="B73" s="12" t="n">
        <f aca="false">1/D71</f>
        <v>0.436643087939918</v>
      </c>
      <c r="C73" s="12" t="n">
        <f aca="false">1/D72</f>
        <v>0.724795245343191</v>
      </c>
      <c r="D73" s="12" t="n">
        <f aca="false">1</f>
        <v>1</v>
      </c>
      <c r="E73" s="12" t="n">
        <f aca="false">IF(C62&gt;=0,IF(C62=0,1,C62),1/ABS(C62))</f>
        <v>1.8384</v>
      </c>
      <c r="F73" s="12" t="n">
        <f aca="false">IF(C63&gt;=0,IF(C63=0,1,C63),1/ABS(C63))</f>
        <v>1.4758</v>
      </c>
      <c r="G73" s="12" t="n">
        <f aca="false">IF(C64&gt;=0,IF(C64=0,1,C64),1/ABS(C64))</f>
        <v>1.1847</v>
      </c>
    </row>
    <row r="74" customFormat="false" ht="15" hidden="false" customHeight="false" outlineLevel="0" collapsed="false">
      <c r="A74" s="11" t="s">
        <v>35</v>
      </c>
      <c r="B74" s="12" t="n">
        <f aca="false">1/E71</f>
        <v>0.543951261966928</v>
      </c>
      <c r="C74" s="12" t="n">
        <f aca="false">1/E72</f>
        <v>0.677598590594932</v>
      </c>
      <c r="D74" s="12" t="n">
        <f aca="false">1/E73</f>
        <v>0.543951261966928</v>
      </c>
      <c r="E74" s="12" t="n">
        <f aca="false">1</f>
        <v>1</v>
      </c>
      <c r="F74" s="12" t="n">
        <f aca="false">IF(C65&gt;=0,IF(C65=0,1,C65),1/ABS(C65))</f>
        <v>1.4758</v>
      </c>
      <c r="G74" s="12" t="n">
        <f aca="false">IF(C66&gt;=0,IF(C66=0,1,C66),1/ABS(C66))</f>
        <v>1.2457</v>
      </c>
    </row>
    <row r="75" customFormat="false" ht="15" hidden="false" customHeight="false" outlineLevel="0" collapsed="false">
      <c r="A75" s="11" t="s">
        <v>36</v>
      </c>
      <c r="B75" s="12" t="n">
        <f aca="false">1/F71</f>
        <v>0.581801256690714</v>
      </c>
      <c r="C75" s="12" t="n">
        <f aca="false">1/F72</f>
        <v>0.644412939811831</v>
      </c>
      <c r="D75" s="12" t="n">
        <f aca="false">1/F73</f>
        <v>0.677598590594932</v>
      </c>
      <c r="E75" s="12" t="n">
        <f aca="false">1/F74</f>
        <v>0.677598590594932</v>
      </c>
      <c r="F75" s="12" t="n">
        <f aca="false">1</f>
        <v>1</v>
      </c>
      <c r="G75" s="12" t="n">
        <f aca="false">IF(C67&gt;=0,IF(C67=0,1,C67),1/ABS(C67))</f>
        <v>1.2457</v>
      </c>
    </row>
    <row r="76" customFormat="false" ht="15" hidden="false" customHeight="false" outlineLevel="0" collapsed="false">
      <c r="A76" s="11" t="s">
        <v>37</v>
      </c>
      <c r="B76" s="12" t="n">
        <f aca="false">1/G71</f>
        <v>1.9332</v>
      </c>
      <c r="C76" s="12" t="n">
        <f aca="false">1/G72</f>
        <v>0.611807892321811</v>
      </c>
      <c r="D76" s="12" t="n">
        <f aca="false">1/G73</f>
        <v>0.844095551616443</v>
      </c>
      <c r="E76" s="12" t="n">
        <f aca="false">1/G74</f>
        <v>0.802761499558481</v>
      </c>
      <c r="F76" s="12" t="n">
        <f aca="false">1/G75</f>
        <v>0.802761499558481</v>
      </c>
      <c r="G76" s="12" t="n">
        <f aca="false">1</f>
        <v>1</v>
      </c>
    </row>
    <row r="78" customFormat="false" ht="15" hidden="false" customHeight="false" outlineLevel="0" collapsed="false">
      <c r="A78" s="13" t="s">
        <v>19</v>
      </c>
      <c r="B78" s="12" t="n">
        <f aca="false">SUM(B71:B76)</f>
        <v>5.01287266018746</v>
      </c>
      <c r="C78" s="12" t="n">
        <f aca="false">SUM(C71:C76)</f>
        <v>5.59181466807176</v>
      </c>
      <c r="D78" s="12" t="n">
        <f aca="false">SUM(D71:D76)</f>
        <v>6.7355454041783</v>
      </c>
      <c r="E78" s="12" t="n">
        <f aca="false">SUM(E71:E76)</f>
        <v>7.63296009015341</v>
      </c>
      <c r="F78" s="12" t="n">
        <f aca="false">SUM(F71:F76)</f>
        <v>8.02496149955848</v>
      </c>
      <c r="G78" s="12" t="n">
        <f aca="false">SUM(G71:G76)</f>
        <v>6.8278770535899</v>
      </c>
    </row>
    <row r="80" customFormat="false" ht="15" hidden="false" customHeight="false" outlineLevel="0" collapsed="false">
      <c r="A80" s="14" t="s">
        <v>20</v>
      </c>
    </row>
    <row r="81" customFormat="false" ht="15" hidden="false" customHeight="false" outlineLevel="0" collapsed="false">
      <c r="A81" s="10" t="s">
        <v>21</v>
      </c>
      <c r="B81" s="10" t="s">
        <v>22</v>
      </c>
    </row>
    <row r="82" customFormat="false" ht="15" hidden="false" customHeight="false" outlineLevel="0" collapsed="false">
      <c r="A82" s="7" t="s">
        <v>32</v>
      </c>
      <c r="B82" s="15" t="n">
        <f aca="false">AVERAGE(B71/B78,C71/C78,D71/D78,E71/E78,F71/F78,G71/G78)</f>
        <v>0.236002421341431</v>
      </c>
    </row>
    <row r="83" customFormat="false" ht="15" hidden="false" customHeight="false" outlineLevel="0" collapsed="false">
      <c r="A83" s="7" t="s">
        <v>33</v>
      </c>
      <c r="B83" s="15" t="n">
        <f aca="false">AVERAGE(B72/B78,C72/C78,D72/D78,E72/E78,F72/F78,G72/G78)</f>
        <v>0.185494137265866</v>
      </c>
    </row>
    <row r="84" customFormat="false" ht="15" hidden="false" customHeight="false" outlineLevel="0" collapsed="false">
      <c r="A84" s="7" t="s">
        <v>34</v>
      </c>
      <c r="B84" s="15" t="n">
        <f aca="false">AVERAGE(B73/B78,C73/C78,D73/D78,E73/E78,F73/F78,G73/G78)</f>
        <v>0.160574715758477</v>
      </c>
    </row>
    <row r="85" customFormat="false" ht="15" hidden="false" customHeight="false" outlineLevel="0" collapsed="false">
      <c r="A85" s="7" t="s">
        <v>35</v>
      </c>
      <c r="B85" s="15" t="n">
        <f aca="false">AVERAGE(B74/B78,C74/C78,D74/D78,E74/E78,F74/F78,G74/G78)</f>
        <v>0.134633545112831</v>
      </c>
    </row>
    <row r="86" customFormat="false" ht="15" hidden="false" customHeight="false" outlineLevel="0" collapsed="false">
      <c r="A86" s="7" t="s">
        <v>36</v>
      </c>
      <c r="B86" s="15" t="n">
        <f aca="false">AVERAGE(B75/B78,C75/C78,D75/D78,E75/E78,F75/F78,G75/G78)</f>
        <v>0.121288529922307</v>
      </c>
    </row>
    <row r="87" customFormat="false" ht="15" hidden="false" customHeight="false" outlineLevel="0" collapsed="false">
      <c r="A87" s="7" t="s">
        <v>37</v>
      </c>
      <c r="B87" s="15" t="n">
        <f aca="false">AVERAGE(B76/B78,C76/C78,D76/D78,E76/E78,F76/F78,G76/G78)</f>
        <v>0.162006650599088</v>
      </c>
    </row>
    <row r="89" customFormat="false" ht="15" hidden="false" customHeight="false" outlineLevel="0" collapsed="false">
      <c r="A89" s="14" t="s">
        <v>23</v>
      </c>
    </row>
    <row r="90" customFormat="false" ht="15" hidden="false" customHeight="false" outlineLevel="0" collapsed="false">
      <c r="A90" s="0" t="s">
        <v>24</v>
      </c>
      <c r="B90" s="16" t="n">
        <f aca="false"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6.41294406530372</v>
      </c>
    </row>
    <row r="91" customFormat="false" ht="15" hidden="false" customHeight="false" outlineLevel="0" collapsed="false">
      <c r="A91" s="0" t="s">
        <v>25</v>
      </c>
      <c r="B91" s="16" t="n">
        <f aca="false">(B90-6)/5</f>
        <v>0.082588813060743</v>
      </c>
    </row>
    <row r="92" customFormat="false" ht="15" hidden="false" customHeight="false" outlineLevel="0" collapsed="false">
      <c r="A92" s="0" t="s">
        <v>38</v>
      </c>
      <c r="B92" s="17" t="n">
        <v>1.24</v>
      </c>
    </row>
    <row r="93" customFormat="false" ht="15" hidden="false" customHeight="false" outlineLevel="0" collapsed="false">
      <c r="A93" s="18" t="s">
        <v>27</v>
      </c>
      <c r="B93" s="19" t="n">
        <f aca="false">IF(B92=0,0,B91/B92)</f>
        <v>0.0666038815005992</v>
      </c>
    </row>
    <row r="94" customFormat="false" ht="15" hidden="false" customHeight="false" outlineLevel="0" collapsed="false">
      <c r="A94" s="18" t="s">
        <v>28</v>
      </c>
      <c r="B94" s="11" t="str">
        <f aca="false">IF(B93&lt;0.1,"✓ PASS","✗ FAIL — revise judgements")</f>
        <v>✓ PASS</v>
      </c>
    </row>
    <row r="97" customFormat="false" ht="19.5" hidden="false" customHeight="true" outlineLevel="0" collapsed="false">
      <c r="A97" s="4" t="s">
        <v>41</v>
      </c>
      <c r="B97" s="4"/>
      <c r="C97" s="4"/>
      <c r="D97" s="4"/>
      <c r="E97" s="4"/>
      <c r="F97" s="4"/>
    </row>
    <row r="98" customFormat="false" ht="27.75" hidden="false" customHeight="true" outlineLevel="0" collapsed="false">
      <c r="A98" s="5" t="s">
        <v>42</v>
      </c>
      <c r="B98" s="5"/>
      <c r="C98" s="5"/>
      <c r="D98" s="5"/>
      <c r="E98" s="5"/>
      <c r="F98" s="5"/>
    </row>
    <row r="99" customFormat="false" ht="48" hidden="false" customHeight="true" outlineLevel="0" collapsed="false">
      <c r="A99" s="6" t="s">
        <v>12</v>
      </c>
      <c r="B99" s="6" t="s">
        <v>13</v>
      </c>
      <c r="C99" s="6" t="s">
        <v>14</v>
      </c>
    </row>
    <row r="100" customFormat="false" ht="15" hidden="false" customHeight="false" outlineLevel="0" collapsed="false">
      <c r="A100" s="7" t="s">
        <v>32</v>
      </c>
      <c r="B100" s="7" t="s">
        <v>33</v>
      </c>
      <c r="C100" s="8" t="n">
        <v>1.5518</v>
      </c>
    </row>
    <row r="101" customFormat="false" ht="15" hidden="false" customHeight="false" outlineLevel="0" collapsed="false">
      <c r="A101" s="7" t="s">
        <v>32</v>
      </c>
      <c r="B101" s="7" t="s">
        <v>34</v>
      </c>
      <c r="C101" s="8" t="n">
        <v>-2.2902</v>
      </c>
    </row>
    <row r="102" customFormat="false" ht="15" hidden="false" customHeight="false" outlineLevel="0" collapsed="false">
      <c r="A102" s="7" t="s">
        <v>32</v>
      </c>
      <c r="B102" s="7" t="s">
        <v>35</v>
      </c>
      <c r="C102" s="8" t="n">
        <v>2.4082</v>
      </c>
    </row>
    <row r="103" customFormat="false" ht="15" hidden="false" customHeight="false" outlineLevel="0" collapsed="false">
      <c r="A103" s="7" t="s">
        <v>32</v>
      </c>
      <c r="B103" s="7" t="s">
        <v>36</v>
      </c>
      <c r="C103" s="8" t="n">
        <v>1.9332</v>
      </c>
    </row>
    <row r="104" customFormat="false" ht="15" hidden="false" customHeight="false" outlineLevel="0" collapsed="false">
      <c r="A104" s="7" t="s">
        <v>32</v>
      </c>
      <c r="B104" s="7" t="s">
        <v>37</v>
      </c>
      <c r="C104" s="8" t="n">
        <v>1.8074</v>
      </c>
    </row>
    <row r="105" customFormat="false" ht="15" hidden="false" customHeight="false" outlineLevel="0" collapsed="false">
      <c r="A105" s="7" t="s">
        <v>33</v>
      </c>
      <c r="B105" s="7" t="s">
        <v>34</v>
      </c>
      <c r="C105" s="8" t="n">
        <v>-1.7454</v>
      </c>
    </row>
    <row r="106" customFormat="false" ht="15" hidden="false" customHeight="false" outlineLevel="0" collapsed="false">
      <c r="A106" s="7" t="s">
        <v>33</v>
      </c>
      <c r="B106" s="7" t="s">
        <v>35</v>
      </c>
      <c r="C106" s="8" t="n">
        <v>2.4082</v>
      </c>
    </row>
    <row r="107" customFormat="false" ht="15" hidden="false" customHeight="false" outlineLevel="0" collapsed="false">
      <c r="A107" s="7" t="s">
        <v>33</v>
      </c>
      <c r="B107" s="7" t="s">
        <v>36</v>
      </c>
      <c r="C107" s="8" t="n">
        <v>-1.4011</v>
      </c>
    </row>
    <row r="108" customFormat="false" ht="15" hidden="false" customHeight="false" outlineLevel="0" collapsed="false">
      <c r="A108" s="7" t="s">
        <v>33</v>
      </c>
      <c r="B108" s="7" t="s">
        <v>37</v>
      </c>
      <c r="C108" s="8" t="n">
        <v>-1.2457</v>
      </c>
    </row>
    <row r="109" customFormat="false" ht="15" hidden="false" customHeight="false" outlineLevel="0" collapsed="false">
      <c r="A109" s="7" t="s">
        <v>34</v>
      </c>
      <c r="B109" s="7" t="s">
        <v>35</v>
      </c>
      <c r="C109" s="8" t="n">
        <v>1.5281</v>
      </c>
    </row>
    <row r="110" customFormat="false" ht="15" hidden="false" customHeight="false" outlineLevel="0" collapsed="false">
      <c r="A110" s="7" t="s">
        <v>34</v>
      </c>
      <c r="B110" s="7" t="s">
        <v>36</v>
      </c>
      <c r="C110" s="8" t="n">
        <v>3.554</v>
      </c>
    </row>
    <row r="111" customFormat="false" ht="15" hidden="false" customHeight="false" outlineLevel="0" collapsed="false">
      <c r="A111" s="7" t="s">
        <v>34</v>
      </c>
      <c r="B111" s="7" t="s">
        <v>37</v>
      </c>
      <c r="C111" s="8" t="n">
        <v>3.3227</v>
      </c>
    </row>
    <row r="112" customFormat="false" ht="15" hidden="false" customHeight="false" outlineLevel="0" collapsed="false">
      <c r="A112" s="7" t="s">
        <v>35</v>
      </c>
      <c r="B112" s="7" t="s">
        <v>36</v>
      </c>
      <c r="C112" s="8" t="n">
        <v>2.4082</v>
      </c>
    </row>
    <row r="113" customFormat="false" ht="15" hidden="false" customHeight="false" outlineLevel="0" collapsed="false">
      <c r="A113" s="7" t="s">
        <v>35</v>
      </c>
      <c r="B113" s="7" t="s">
        <v>37</v>
      </c>
      <c r="C113" s="8" t="n">
        <v>2.8529</v>
      </c>
    </row>
    <row r="114" customFormat="false" ht="15" hidden="false" customHeight="false" outlineLevel="0" collapsed="false">
      <c r="A114" s="7" t="s">
        <v>36</v>
      </c>
      <c r="B114" s="7" t="s">
        <v>37</v>
      </c>
      <c r="C114" s="8" t="n">
        <v>2.4082</v>
      </c>
    </row>
    <row r="116" customFormat="false" ht="15" hidden="false" customHeight="false" outlineLevel="0" collapsed="false">
      <c r="A116" s="9" t="s">
        <v>18</v>
      </c>
      <c r="B116" s="9"/>
      <c r="C116" s="9"/>
      <c r="D116" s="9"/>
      <c r="E116" s="9"/>
      <c r="F116" s="9"/>
    </row>
    <row r="117" customFormat="false" ht="15" hidden="false" customHeight="false" outlineLevel="0" collapsed="false">
      <c r="B117" s="10" t="s">
        <v>32</v>
      </c>
      <c r="C117" s="10" t="s">
        <v>33</v>
      </c>
      <c r="D117" s="10" t="s">
        <v>34</v>
      </c>
      <c r="E117" s="10" t="s">
        <v>35</v>
      </c>
      <c r="F117" s="10" t="s">
        <v>36</v>
      </c>
      <c r="G117" s="10" t="s">
        <v>37</v>
      </c>
    </row>
    <row r="118" customFormat="false" ht="15" hidden="false" customHeight="false" outlineLevel="0" collapsed="false">
      <c r="A118" s="11" t="s">
        <v>32</v>
      </c>
      <c r="B118" s="12" t="n">
        <f aca="false">1</f>
        <v>1</v>
      </c>
      <c r="C118" s="12" t="n">
        <f aca="false">IF(C100&gt;=0,IF(C100=0,1,C100),1/ABS(C100))</f>
        <v>1.5518</v>
      </c>
      <c r="D118" s="12" t="n">
        <f aca="false">IF(C101&gt;=0,IF(C101=0,1,C101),1/ABS(C101))</f>
        <v>0.436643087939918</v>
      </c>
      <c r="E118" s="12" t="n">
        <f aca="false">IF(C102&gt;=0,IF(C102=0,1,C102),1/ABS(C102))</f>
        <v>2.4082</v>
      </c>
      <c r="F118" s="12" t="n">
        <f aca="false">IF(C103&gt;=0,IF(C103=0,1,C103),1/ABS(C103))</f>
        <v>1.9332</v>
      </c>
      <c r="G118" s="12" t="n">
        <f aca="false">IF(C104&gt;=0,IF(C104=0,1,C104),1/ABS(C104))</f>
        <v>1.8074</v>
      </c>
    </row>
    <row r="119" customFormat="false" ht="15" hidden="false" customHeight="false" outlineLevel="0" collapsed="false">
      <c r="A119" s="11" t="s">
        <v>33</v>
      </c>
      <c r="B119" s="12" t="n">
        <f aca="false">1/C118</f>
        <v>0.644412939811831</v>
      </c>
      <c r="C119" s="12" t="n">
        <f aca="false">1</f>
        <v>1</v>
      </c>
      <c r="D119" s="12" t="n">
        <f aca="false">IF(C105&gt;=0,IF(C105=0,1,C105),1/ABS(C105))</f>
        <v>0.572934570872006</v>
      </c>
      <c r="E119" s="12" t="n">
        <f aca="false">IF(C106&gt;=0,IF(C106=0,1,C106),1/ABS(C106))</f>
        <v>2.4082</v>
      </c>
      <c r="F119" s="12" t="n">
        <f aca="false">IF(C107&gt;=0,IF(C107=0,1,C107),1/ABS(C107))</f>
        <v>0.713724930411819</v>
      </c>
      <c r="G119" s="12" t="n">
        <f aca="false">IF(C108&gt;=0,IF(C108=0,1,C108),1/ABS(C108))</f>
        <v>0.802761499558481</v>
      </c>
    </row>
    <row r="120" customFormat="false" ht="15" hidden="false" customHeight="false" outlineLevel="0" collapsed="false">
      <c r="A120" s="11" t="s">
        <v>34</v>
      </c>
      <c r="B120" s="12" t="n">
        <f aca="false">1/D118</f>
        <v>2.2902</v>
      </c>
      <c r="C120" s="12" t="n">
        <f aca="false">1/D119</f>
        <v>1.7454</v>
      </c>
      <c r="D120" s="12" t="n">
        <f aca="false">1</f>
        <v>1</v>
      </c>
      <c r="E120" s="12" t="n">
        <f aca="false">IF(C109&gt;=0,IF(C109=0,1,C109),1/ABS(C109))</f>
        <v>1.5281</v>
      </c>
      <c r="F120" s="12" t="n">
        <f aca="false">IF(C110&gt;=0,IF(C110=0,1,C110),1/ABS(C110))</f>
        <v>3.554</v>
      </c>
      <c r="G120" s="12" t="n">
        <f aca="false">IF(C111&gt;=0,IF(C111=0,1,C111),1/ABS(C111))</f>
        <v>3.3227</v>
      </c>
    </row>
    <row r="121" customFormat="false" ht="15" hidden="false" customHeight="false" outlineLevel="0" collapsed="false">
      <c r="A121" s="11" t="s">
        <v>35</v>
      </c>
      <c r="B121" s="12" t="n">
        <f aca="false">1/E118</f>
        <v>0.41524790299809</v>
      </c>
      <c r="C121" s="12" t="n">
        <f aca="false">1/E119</f>
        <v>0.41524790299809</v>
      </c>
      <c r="D121" s="12" t="n">
        <f aca="false">1/E120</f>
        <v>0.654407434068451</v>
      </c>
      <c r="E121" s="12" t="n">
        <f aca="false">1</f>
        <v>1</v>
      </c>
      <c r="F121" s="12" t="n">
        <f aca="false">IF(C112&gt;=0,IF(C112=0,1,C112),1/ABS(C112))</f>
        <v>2.4082</v>
      </c>
      <c r="G121" s="12" t="n">
        <f aca="false">IF(C113&gt;=0,IF(C113=0,1,C113),1/ABS(C113))</f>
        <v>2.8529</v>
      </c>
    </row>
    <row r="122" customFormat="false" ht="15" hidden="false" customHeight="false" outlineLevel="0" collapsed="false">
      <c r="A122" s="11" t="s">
        <v>36</v>
      </c>
      <c r="B122" s="12" t="n">
        <f aca="false">1/F118</f>
        <v>0.517277053589903</v>
      </c>
      <c r="C122" s="12" t="n">
        <f aca="false">1/F119</f>
        <v>1.4011</v>
      </c>
      <c r="D122" s="12" t="n">
        <f aca="false">1/F120</f>
        <v>0.28137310073157</v>
      </c>
      <c r="E122" s="12" t="n">
        <f aca="false">1/F121</f>
        <v>0.41524790299809</v>
      </c>
      <c r="F122" s="12" t="n">
        <f aca="false">1</f>
        <v>1</v>
      </c>
      <c r="G122" s="12" t="n">
        <f aca="false">IF(C114&gt;=0,IF(C114=0,1,C114),1/ABS(C114))</f>
        <v>2.4082</v>
      </c>
    </row>
    <row r="123" customFormat="false" ht="15" hidden="false" customHeight="false" outlineLevel="0" collapsed="false">
      <c r="A123" s="11" t="s">
        <v>37</v>
      </c>
      <c r="B123" s="12" t="n">
        <f aca="false">1/G118</f>
        <v>0.553280956069492</v>
      </c>
      <c r="C123" s="12" t="n">
        <f aca="false">1/G119</f>
        <v>1.2457</v>
      </c>
      <c r="D123" s="12" t="n">
        <f aca="false">1/G120</f>
        <v>0.300960062599693</v>
      </c>
      <c r="E123" s="12" t="n">
        <f aca="false">1/G121</f>
        <v>0.35052052297662</v>
      </c>
      <c r="F123" s="12" t="n">
        <f aca="false">1/G122</f>
        <v>0.41524790299809</v>
      </c>
      <c r="G123" s="12" t="n">
        <f aca="false">1</f>
        <v>1</v>
      </c>
    </row>
    <row r="125" customFormat="false" ht="15" hidden="false" customHeight="false" outlineLevel="0" collapsed="false">
      <c r="A125" s="13" t="s">
        <v>19</v>
      </c>
      <c r="B125" s="12" t="n">
        <f aca="false">SUM(B118:B123)</f>
        <v>5.42041885246932</v>
      </c>
      <c r="C125" s="12" t="n">
        <f aca="false">SUM(C118:C123)</f>
        <v>7.35924790299809</v>
      </c>
      <c r="D125" s="12" t="n">
        <f aca="false">SUM(D118:D123)</f>
        <v>3.24631825621164</v>
      </c>
      <c r="E125" s="12" t="n">
        <f aca="false">SUM(E118:E123)</f>
        <v>8.11026842597471</v>
      </c>
      <c r="F125" s="12" t="n">
        <f aca="false">SUM(F118:F123)</f>
        <v>10.0243728334099</v>
      </c>
      <c r="G125" s="12" t="n">
        <f aca="false">SUM(G118:G123)</f>
        <v>12.1939614995585</v>
      </c>
    </row>
    <row r="127" customFormat="false" ht="15" hidden="false" customHeight="false" outlineLevel="0" collapsed="false">
      <c r="A127" s="14" t="s">
        <v>20</v>
      </c>
    </row>
    <row r="128" customFormat="false" ht="15" hidden="false" customHeight="false" outlineLevel="0" collapsed="false">
      <c r="A128" s="10" t="s">
        <v>21</v>
      </c>
      <c r="B128" s="10" t="s">
        <v>22</v>
      </c>
    </row>
    <row r="129" customFormat="false" ht="15" hidden="false" customHeight="false" outlineLevel="0" collapsed="false">
      <c r="A129" s="7" t="s">
        <v>32</v>
      </c>
      <c r="B129" s="15" t="n">
        <f aca="false">AVERAGE(B118/B125,C118/C125,D118/D125,E118/E125,F118/F125,G118/G125)</f>
        <v>0.19464311860226</v>
      </c>
    </row>
    <row r="130" customFormat="false" ht="15" hidden="false" customHeight="false" outlineLevel="0" collapsed="false">
      <c r="A130" s="7" t="s">
        <v>33</v>
      </c>
      <c r="B130" s="15" t="n">
        <f aca="false">AVERAGE(B119/B125,C119/C125,D119/D125,E119/E125,F119/F125,G119/G125)</f>
        <v>0.144203503359334</v>
      </c>
    </row>
    <row r="131" customFormat="false" ht="15" hidden="false" customHeight="false" outlineLevel="0" collapsed="false">
      <c r="A131" s="7" t="s">
        <v>34</v>
      </c>
      <c r="B131" s="15" t="n">
        <f aca="false">AVERAGE(B120/B125,C120/C125,D120/D125,E120/E125,F120/F125,G120/G125)</f>
        <v>0.297194068248254</v>
      </c>
    </row>
    <row r="132" customFormat="false" ht="15" hidden="false" customHeight="false" outlineLevel="0" collapsed="false">
      <c r="A132" s="7" t="s">
        <v>35</v>
      </c>
      <c r="B132" s="15" t="n">
        <f aca="false">AVERAGE(B121/B125,C121/C125,D121/D125,E121/E125,F121/F125,G121/G125)</f>
        <v>0.155352154019496</v>
      </c>
    </row>
    <row r="133" customFormat="false" ht="15" hidden="false" customHeight="false" outlineLevel="0" collapsed="false">
      <c r="A133" s="7" t="s">
        <v>36</v>
      </c>
      <c r="B133" s="15" t="n">
        <f aca="false">AVERAGE(B122/B125,C122/C125,D122/D125,E122/E125,F122/F125,G122/G125)</f>
        <v>0.120156724904476</v>
      </c>
    </row>
    <row r="134" customFormat="false" ht="15" hidden="false" customHeight="false" outlineLevel="0" collapsed="false">
      <c r="A134" s="7" t="s">
        <v>37</v>
      </c>
      <c r="B134" s="15" t="n">
        <f aca="false">AVERAGE(B123/B125,C123/C125,D123/D125,E123/E125,F123/F125,G123/G125)</f>
        <v>0.0884504308661809</v>
      </c>
    </row>
    <row r="136" customFormat="false" ht="15" hidden="false" customHeight="false" outlineLevel="0" collapsed="false">
      <c r="A136" s="14" t="s">
        <v>23</v>
      </c>
    </row>
    <row r="137" customFormat="false" ht="15" hidden="false" customHeight="false" outlineLevel="0" collapsed="false">
      <c r="A137" s="0" t="s">
        <v>24</v>
      </c>
      <c r="B137" s="16" t="n">
        <f aca="false"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6.61093775998395</v>
      </c>
    </row>
    <row r="138" customFormat="false" ht="15" hidden="false" customHeight="false" outlineLevel="0" collapsed="false">
      <c r="A138" s="0" t="s">
        <v>25</v>
      </c>
      <c r="B138" s="16" t="n">
        <f aca="false">(B137-6)/5</f>
        <v>0.12218755199679</v>
      </c>
    </row>
    <row r="139" customFormat="false" ht="15" hidden="false" customHeight="false" outlineLevel="0" collapsed="false">
      <c r="A139" s="0" t="s">
        <v>38</v>
      </c>
      <c r="B139" s="17" t="n">
        <v>1.24</v>
      </c>
    </row>
    <row r="140" customFormat="false" ht="15" hidden="false" customHeight="false" outlineLevel="0" collapsed="false">
      <c r="A140" s="18" t="s">
        <v>27</v>
      </c>
      <c r="B140" s="19" t="n">
        <f aca="false">IF(B139=0,0,B138/B139)</f>
        <v>0.0985383483845078</v>
      </c>
    </row>
    <row r="141" customFormat="false" ht="15" hidden="false" customHeight="false" outlineLevel="0" collapsed="false">
      <c r="A141" s="18" t="s">
        <v>28</v>
      </c>
      <c r="B141" s="11" t="str">
        <f aca="false">IF(B140&lt;0.1,"✓ PASS","✗ FAIL — revise judgements")</f>
        <v>✓ PASS</v>
      </c>
    </row>
  </sheetData>
  <mergeCells count="10">
    <mergeCell ref="A1:F1"/>
    <mergeCell ref="A3:F3"/>
    <mergeCell ref="A4:F4"/>
    <mergeCell ref="A22:F22"/>
    <mergeCell ref="A50:F50"/>
    <mergeCell ref="A51:F51"/>
    <mergeCell ref="A69:F69"/>
    <mergeCell ref="A97:F97"/>
    <mergeCell ref="A98:F98"/>
    <mergeCell ref="A116:F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19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3" t="s">
        <v>43</v>
      </c>
      <c r="B1" s="3"/>
      <c r="C1" s="3"/>
      <c r="D1" s="3"/>
      <c r="E1" s="3"/>
      <c r="F1" s="3"/>
    </row>
    <row r="3" customFormat="false" ht="19.5" hidden="false" customHeight="true" outlineLevel="0" collapsed="false">
      <c r="A3" s="4" t="s">
        <v>30</v>
      </c>
      <c r="B3" s="4"/>
      <c r="C3" s="4"/>
      <c r="D3" s="4"/>
      <c r="E3" s="4"/>
      <c r="F3" s="4"/>
    </row>
    <row r="4" customFormat="false" ht="27.75" hidden="false" customHeight="true" outlineLevel="0" collapsed="false">
      <c r="A4" s="5" t="s">
        <v>44</v>
      </c>
      <c r="B4" s="5"/>
      <c r="C4" s="5"/>
      <c r="D4" s="5"/>
      <c r="E4" s="5"/>
      <c r="F4" s="5"/>
    </row>
    <row r="5" customFormat="false" ht="46.5" hidden="false" customHeight="true" outlineLevel="0" collapsed="false">
      <c r="A5" s="6" t="s">
        <v>12</v>
      </c>
      <c r="B5" s="6" t="s">
        <v>13</v>
      </c>
      <c r="C5" s="6" t="s">
        <v>14</v>
      </c>
    </row>
    <row r="6" customFormat="false" ht="15" hidden="false" customHeight="false" outlineLevel="0" collapsed="false">
      <c r="A6" s="7" t="s">
        <v>32</v>
      </c>
      <c r="B6" s="7" t="s">
        <v>33</v>
      </c>
      <c r="C6" s="8" t="n">
        <v>-1.8384</v>
      </c>
    </row>
    <row r="7" customFormat="false" ht="15" hidden="false" customHeight="false" outlineLevel="0" collapsed="false">
      <c r="A7" s="7" t="s">
        <v>32</v>
      </c>
      <c r="B7" s="7" t="s">
        <v>34</v>
      </c>
      <c r="C7" s="8" t="n">
        <v>-2.4122</v>
      </c>
    </row>
    <row r="8" customFormat="false" ht="15" hidden="false" customHeight="false" outlineLevel="0" collapsed="false">
      <c r="A8" s="7" t="s">
        <v>32</v>
      </c>
      <c r="B8" s="7" t="s">
        <v>35</v>
      </c>
      <c r="C8" s="8" t="n">
        <v>-3.7433</v>
      </c>
    </row>
    <row r="9" customFormat="false" ht="15" hidden="false" customHeight="false" outlineLevel="0" collapsed="false">
      <c r="A9" s="7" t="s">
        <v>32</v>
      </c>
      <c r="B9" s="7" t="s">
        <v>36</v>
      </c>
      <c r="C9" s="8" t="n">
        <v>-4.9036</v>
      </c>
    </row>
    <row r="10" customFormat="false" ht="15" hidden="false" customHeight="false" outlineLevel="0" collapsed="false">
      <c r="A10" s="7" t="s">
        <v>32</v>
      </c>
      <c r="B10" s="7" t="s">
        <v>37</v>
      </c>
      <c r="C10" s="8" t="n">
        <v>-4.2103</v>
      </c>
    </row>
    <row r="11" customFormat="false" ht="15" hidden="false" customHeight="false" outlineLevel="0" collapsed="false">
      <c r="A11" s="7" t="s">
        <v>33</v>
      </c>
      <c r="B11" s="7" t="s">
        <v>34</v>
      </c>
      <c r="C11" s="8" t="n">
        <v>-3.7433</v>
      </c>
    </row>
    <row r="12" customFormat="false" ht="15" hidden="false" customHeight="false" outlineLevel="0" collapsed="false">
      <c r="A12" s="7" t="s">
        <v>33</v>
      </c>
      <c r="B12" s="7" t="s">
        <v>35</v>
      </c>
      <c r="C12" s="8" t="n">
        <v>-2.3714</v>
      </c>
    </row>
    <row r="13" customFormat="false" ht="15" hidden="false" customHeight="false" outlineLevel="0" collapsed="false">
      <c r="A13" s="7" t="s">
        <v>33</v>
      </c>
      <c r="B13" s="7" t="s">
        <v>36</v>
      </c>
      <c r="C13" s="8" t="n">
        <v>-4.6632</v>
      </c>
    </row>
    <row r="14" customFormat="false" ht="15" hidden="false" customHeight="false" outlineLevel="0" collapsed="false">
      <c r="A14" s="7" t="s">
        <v>33</v>
      </c>
      <c r="B14" s="7" t="s">
        <v>37</v>
      </c>
      <c r="C14" s="8" t="n">
        <v>-2.8529</v>
      </c>
    </row>
    <row r="15" customFormat="false" ht="15" hidden="false" customHeight="false" outlineLevel="0" collapsed="false">
      <c r="A15" s="7" t="s">
        <v>34</v>
      </c>
      <c r="B15" s="7" t="s">
        <v>35</v>
      </c>
      <c r="C15" s="8" t="n">
        <v>-1.5281</v>
      </c>
    </row>
    <row r="16" customFormat="false" ht="15" hidden="false" customHeight="false" outlineLevel="0" collapsed="false">
      <c r="A16" s="7" t="s">
        <v>34</v>
      </c>
      <c r="B16" s="7" t="s">
        <v>36</v>
      </c>
      <c r="C16" s="8" t="n">
        <v>-3.9363</v>
      </c>
    </row>
    <row r="17" customFormat="false" ht="15" hidden="false" customHeight="false" outlineLevel="0" collapsed="false">
      <c r="A17" s="7" t="s">
        <v>34</v>
      </c>
      <c r="B17" s="7" t="s">
        <v>37</v>
      </c>
      <c r="C17" s="8" t="n">
        <v>-2.4122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8" t="n">
        <v>-4.4273</v>
      </c>
    </row>
    <row r="19" customFormat="false" ht="15" hidden="false" customHeight="false" outlineLevel="0" collapsed="false">
      <c r="A19" s="7" t="s">
        <v>35</v>
      </c>
      <c r="B19" s="7" t="s">
        <v>37</v>
      </c>
      <c r="C19" s="8" t="n">
        <v>-2.1411</v>
      </c>
    </row>
    <row r="20" customFormat="false" ht="15" hidden="false" customHeight="false" outlineLevel="0" collapsed="false">
      <c r="A20" s="7" t="s">
        <v>36</v>
      </c>
      <c r="B20" s="7" t="s">
        <v>37</v>
      </c>
      <c r="C20" s="8" t="n">
        <v>-2.0018</v>
      </c>
    </row>
    <row r="22" customFormat="false" ht="15" hidden="false" customHeight="false" outlineLevel="0" collapsed="false">
      <c r="A22" s="9" t="s">
        <v>18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B23" s="10" t="s">
        <v>32</v>
      </c>
      <c r="C23" s="10" t="s">
        <v>33</v>
      </c>
      <c r="D23" s="10" t="s">
        <v>34</v>
      </c>
      <c r="E23" s="10" t="s">
        <v>35</v>
      </c>
      <c r="F23" s="10" t="s">
        <v>36</v>
      </c>
      <c r="G23" s="10" t="s">
        <v>37</v>
      </c>
    </row>
    <row r="24" customFormat="false" ht="15" hidden="false" customHeight="false" outlineLevel="0" collapsed="false">
      <c r="A24" s="11" t="s">
        <v>32</v>
      </c>
      <c r="B24" s="12" t="n">
        <f aca="false">1</f>
        <v>1</v>
      </c>
      <c r="C24" s="12" t="n">
        <f aca="false">IF(C6&gt;=0,IF(C6=0,1,C6),1/ABS(C6))</f>
        <v>0.543951261966928</v>
      </c>
      <c r="D24" s="12" t="n">
        <f aca="false">IF(C7&gt;=0,IF(C7=0,1,C7),1/ABS(C7))</f>
        <v>0.414559323439184</v>
      </c>
      <c r="E24" s="12" t="n">
        <f aca="false">IF(C8&gt;=0,IF(C8=0,1,C8),1/ABS(C8))</f>
        <v>0.267143963882136</v>
      </c>
      <c r="F24" s="12" t="n">
        <f aca="false">IF(C9&gt;=0,IF(C9=0,1,C9),1/ABS(C9))</f>
        <v>0.20393180520434</v>
      </c>
      <c r="G24" s="12" t="n">
        <f aca="false">IF(C10&gt;=0,IF(C10=0,1,C10),1/ABS(C10))</f>
        <v>0.237512766311189</v>
      </c>
    </row>
    <row r="25" customFormat="false" ht="15" hidden="false" customHeight="false" outlineLevel="0" collapsed="false">
      <c r="A25" s="11" t="s">
        <v>33</v>
      </c>
      <c r="B25" s="12" t="n">
        <f aca="false">1/C24</f>
        <v>1.8384</v>
      </c>
      <c r="C25" s="12" t="n">
        <f aca="false">1</f>
        <v>1</v>
      </c>
      <c r="D25" s="12" t="n">
        <f aca="false">IF(C11&gt;=0,IF(C11=0,1,C11),1/ABS(C11))</f>
        <v>0.267143963882136</v>
      </c>
      <c r="E25" s="12" t="n">
        <f aca="false">IF(C12&gt;=0,IF(C12=0,1,C12),1/ABS(C12))</f>
        <v>0.421691827612381</v>
      </c>
      <c r="F25" s="12" t="n">
        <f aca="false">IF(C13&gt;=0,IF(C13=0,1,C13),1/ABS(C13))</f>
        <v>0.214445016297821</v>
      </c>
      <c r="G25" s="12" t="n">
        <f aca="false">IF(C14&gt;=0,IF(C14=0,1,C14),1/ABS(C14))</f>
        <v>0.35052052297662</v>
      </c>
    </row>
    <row r="26" customFormat="false" ht="15" hidden="false" customHeight="false" outlineLevel="0" collapsed="false">
      <c r="A26" s="11" t="s">
        <v>34</v>
      </c>
      <c r="B26" s="12" t="n">
        <f aca="false">1/D24</f>
        <v>2.4122</v>
      </c>
      <c r="C26" s="12" t="n">
        <f aca="false">1/D25</f>
        <v>3.7433</v>
      </c>
      <c r="D26" s="12" t="n">
        <f aca="false">1</f>
        <v>1</v>
      </c>
      <c r="E26" s="12" t="n">
        <f aca="false">IF(C15&gt;=0,IF(C15=0,1,C15),1/ABS(C15))</f>
        <v>0.654407434068451</v>
      </c>
      <c r="F26" s="12" t="n">
        <f aca="false">IF(C16&gt;=0,IF(C16=0,1,C16),1/ABS(C16))</f>
        <v>0.254045677412799</v>
      </c>
      <c r="G26" s="12" t="n">
        <f aca="false">IF(C17&gt;=0,IF(C17=0,1,C17),1/ABS(C17))</f>
        <v>0.414559323439184</v>
      </c>
    </row>
    <row r="27" customFormat="false" ht="15" hidden="false" customHeight="false" outlineLevel="0" collapsed="false">
      <c r="A27" s="11" t="s">
        <v>35</v>
      </c>
      <c r="B27" s="12" t="n">
        <f aca="false">1/E24</f>
        <v>3.7433</v>
      </c>
      <c r="C27" s="12" t="n">
        <f aca="false">1/E25</f>
        <v>2.3714</v>
      </c>
      <c r="D27" s="12" t="n">
        <f aca="false">1/E26</f>
        <v>1.5281</v>
      </c>
      <c r="E27" s="12" t="n">
        <f aca="false">1</f>
        <v>1</v>
      </c>
      <c r="F27" s="12" t="n">
        <f aca="false">IF(C18&gt;=0,IF(C18=0,1,C18),1/ABS(C18))</f>
        <v>0.225871298534095</v>
      </c>
      <c r="G27" s="12" t="n">
        <f aca="false">IF(C19&gt;=0,IF(C19=0,1,C19),1/ABS(C19))</f>
        <v>0.467049647377516</v>
      </c>
    </row>
    <row r="28" customFormat="false" ht="15" hidden="false" customHeight="false" outlineLevel="0" collapsed="false">
      <c r="A28" s="11" t="s">
        <v>36</v>
      </c>
      <c r="B28" s="12" t="n">
        <f aca="false">1/F24</f>
        <v>4.9036</v>
      </c>
      <c r="C28" s="12" t="n">
        <f aca="false">1/F25</f>
        <v>4.6632</v>
      </c>
      <c r="D28" s="12" t="n">
        <f aca="false">1/F26</f>
        <v>3.9363</v>
      </c>
      <c r="E28" s="12" t="n">
        <f aca="false">1/F27</f>
        <v>4.4273</v>
      </c>
      <c r="F28" s="12" t="n">
        <f aca="false">1</f>
        <v>1</v>
      </c>
      <c r="G28" s="12" t="n">
        <f aca="false">IF(C20&gt;=0,IF(C20=0,1,C20),1/ABS(C20))</f>
        <v>0.499550404635828</v>
      </c>
    </row>
    <row r="29" customFormat="false" ht="15" hidden="false" customHeight="false" outlineLevel="0" collapsed="false">
      <c r="A29" s="11" t="s">
        <v>37</v>
      </c>
      <c r="B29" s="12" t="n">
        <f aca="false">1/G24</f>
        <v>4.2103</v>
      </c>
      <c r="C29" s="12" t="n">
        <f aca="false">1/G25</f>
        <v>2.8529</v>
      </c>
      <c r="D29" s="12" t="n">
        <f aca="false">1/G26</f>
        <v>2.4122</v>
      </c>
      <c r="E29" s="12" t="n">
        <f aca="false">1/G27</f>
        <v>2.1411</v>
      </c>
      <c r="F29" s="12" t="n">
        <f aca="false">1/G28</f>
        <v>2.0018</v>
      </c>
      <c r="G29" s="12" t="n">
        <f aca="false">1</f>
        <v>1</v>
      </c>
    </row>
    <row r="31" customFormat="false" ht="15" hidden="false" customHeight="false" outlineLevel="0" collapsed="false">
      <c r="A31" s="13" t="s">
        <v>19</v>
      </c>
      <c r="B31" s="12" t="n">
        <f aca="false">SUM(B24:B29)</f>
        <v>18.1078</v>
      </c>
      <c r="C31" s="12" t="n">
        <f aca="false">SUM(C24:C29)</f>
        <v>15.1747512619669</v>
      </c>
      <c r="D31" s="12" t="n">
        <f aca="false">SUM(D24:D29)</f>
        <v>9.55830328732132</v>
      </c>
      <c r="E31" s="12" t="n">
        <f aca="false">SUM(E24:E29)</f>
        <v>8.91164322556297</v>
      </c>
      <c r="F31" s="12" t="n">
        <f aca="false">SUM(F24:F29)</f>
        <v>3.90009379744906</v>
      </c>
      <c r="G31" s="12" t="n">
        <f aca="false">SUM(G24:G29)</f>
        <v>2.96919266474034</v>
      </c>
    </row>
    <row r="33" customFormat="false" ht="15" hidden="false" customHeight="false" outlineLevel="0" collapsed="false">
      <c r="A33" s="14" t="s">
        <v>20</v>
      </c>
    </row>
    <row r="34" customFormat="false" ht="15" hidden="false" customHeight="false" outlineLevel="0" collapsed="false">
      <c r="A34" s="10" t="s">
        <v>21</v>
      </c>
      <c r="B34" s="10" t="s">
        <v>22</v>
      </c>
    </row>
    <row r="35" customFormat="false" ht="15" hidden="false" customHeight="false" outlineLevel="0" collapsed="false">
      <c r="A35" s="7" t="s">
        <v>32</v>
      </c>
      <c r="B35" s="15" t="n">
        <f aca="false">AVERAGE(B24/B31,C24/C31,D24/D31,E24/E31,F24/F31,G24/G31)</f>
        <v>0.0494500925352247</v>
      </c>
    </row>
    <row r="36" customFormat="false" ht="15" hidden="false" customHeight="false" outlineLevel="0" collapsed="false">
      <c r="A36" s="7" t="s">
        <v>33</v>
      </c>
      <c r="B36" s="15" t="n">
        <f aca="false">AVERAGE(B25/B31,C25/C31,D25/D31,E25/E31,F25/F31,G25/G31)</f>
        <v>0.0692882308567684</v>
      </c>
    </row>
    <row r="37" customFormat="false" ht="15" hidden="false" customHeight="false" outlineLevel="0" collapsed="false">
      <c r="A37" s="7" t="s">
        <v>34</v>
      </c>
      <c r="B37" s="15" t="n">
        <f aca="false">AVERAGE(B26/B31,C26/C31,D26/D31,E26/E31,F26/F31,G26/G31)</f>
        <v>0.127117552032665</v>
      </c>
    </row>
    <row r="38" customFormat="false" ht="15" hidden="false" customHeight="false" outlineLevel="0" collapsed="false">
      <c r="A38" s="7" t="s">
        <v>35</v>
      </c>
      <c r="B38" s="15" t="n">
        <f aca="false">AVERAGE(B27/B31,C27/C31,D27/D31,E27/E31,F27/F31,G27/G31)</f>
        <v>0.141715481679258</v>
      </c>
    </row>
    <row r="39" customFormat="false" ht="15" hidden="false" customHeight="false" outlineLevel="0" collapsed="false">
      <c r="A39" s="7" t="s">
        <v>36</v>
      </c>
      <c r="B39" s="15" t="n">
        <f aca="false">AVERAGE(B28/B31,C28/C31,D28/D31,E28/E31,F28/F31,G28/G31)</f>
        <v>0.318561405811062</v>
      </c>
    </row>
    <row r="40" customFormat="false" ht="15" hidden="false" customHeight="false" outlineLevel="0" collapsed="false">
      <c r="A40" s="7" t="s">
        <v>37</v>
      </c>
      <c r="B40" s="15" t="n">
        <f aca="false">AVERAGE(B29/B31,C29/C31,D29/D31,E29/E31,F29/F31,G29/G31)</f>
        <v>0.293867237085022</v>
      </c>
    </row>
    <row r="42" customFormat="false" ht="15" hidden="false" customHeight="false" outlineLevel="0" collapsed="false">
      <c r="A42" s="14" t="s">
        <v>23</v>
      </c>
    </row>
    <row r="43" customFormat="false" ht="15" hidden="false" customHeight="false" outlineLevel="0" collapsed="false">
      <c r="A43" s="0" t="s">
        <v>24</v>
      </c>
      <c r="B43" s="16" t="n">
        <f aca="false"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6.41256253520618</v>
      </c>
    </row>
    <row r="44" customFormat="false" ht="15" hidden="false" customHeight="false" outlineLevel="0" collapsed="false">
      <c r="A44" s="0" t="s">
        <v>25</v>
      </c>
      <c r="B44" s="16" t="n">
        <f aca="false">(B43-6)/5</f>
        <v>0.0825125070412364</v>
      </c>
    </row>
    <row r="45" customFormat="false" ht="15" hidden="false" customHeight="false" outlineLevel="0" collapsed="false">
      <c r="A45" s="0" t="s">
        <v>38</v>
      </c>
      <c r="B45" s="17" t="n">
        <v>1.24</v>
      </c>
    </row>
    <row r="46" customFormat="false" ht="15" hidden="false" customHeight="false" outlineLevel="0" collapsed="false">
      <c r="A46" s="18" t="s">
        <v>27</v>
      </c>
      <c r="B46" s="19" t="n">
        <f aca="false">IF(B45=0,0,B44/B45)</f>
        <v>0.0665423443880939</v>
      </c>
    </row>
    <row r="47" customFormat="false" ht="15" hidden="false" customHeight="false" outlineLevel="0" collapsed="false">
      <c r="A47" s="18" t="s">
        <v>28</v>
      </c>
      <c r="B47" s="11" t="str">
        <f aca="false">IF(B46&lt;0.1,"✓ PASS","✗ FAIL — revise judgements")</f>
        <v>✓ PASS</v>
      </c>
    </row>
    <row r="50" customFormat="false" ht="19.5" hidden="false" customHeight="true" outlineLevel="0" collapsed="false">
      <c r="A50" s="4" t="s">
        <v>39</v>
      </c>
      <c r="B50" s="4"/>
      <c r="C50" s="4"/>
      <c r="D50" s="4"/>
      <c r="E50" s="4"/>
      <c r="F50" s="4"/>
    </row>
    <row r="51" customFormat="false" ht="27.75" hidden="false" customHeight="true" outlineLevel="0" collapsed="false">
      <c r="A51" s="5" t="s">
        <v>45</v>
      </c>
      <c r="B51" s="5"/>
      <c r="C51" s="5"/>
      <c r="D51" s="5"/>
      <c r="E51" s="5"/>
      <c r="F51" s="5"/>
    </row>
    <row r="52" customFormat="false" ht="39" hidden="false" customHeight="true" outlineLevel="0" collapsed="false">
      <c r="A52" s="6" t="s">
        <v>12</v>
      </c>
      <c r="B52" s="6" t="s">
        <v>13</v>
      </c>
      <c r="C52" s="6" t="s">
        <v>14</v>
      </c>
    </row>
    <row r="53" customFormat="false" ht="15" hidden="false" customHeight="false" outlineLevel="0" collapsed="false">
      <c r="A53" s="7" t="s">
        <v>32</v>
      </c>
      <c r="B53" s="7" t="s">
        <v>33</v>
      </c>
      <c r="C53" s="8" t="n">
        <v>-1.4011</v>
      </c>
    </row>
    <row r="54" customFormat="false" ht="15" hidden="false" customHeight="false" outlineLevel="0" collapsed="false">
      <c r="A54" s="7" t="s">
        <v>32</v>
      </c>
      <c r="B54" s="7" t="s">
        <v>34</v>
      </c>
      <c r="C54" s="8" t="n">
        <v>-3.3227</v>
      </c>
    </row>
    <row r="55" customFormat="false" ht="15" hidden="false" customHeight="false" outlineLevel="0" collapsed="false">
      <c r="A55" s="7" t="s">
        <v>32</v>
      </c>
      <c r="B55" s="7" t="s">
        <v>35</v>
      </c>
      <c r="C55" s="8" t="n">
        <v>-1.6318</v>
      </c>
    </row>
    <row r="56" customFormat="false" ht="15" hidden="false" customHeight="false" outlineLevel="0" collapsed="false">
      <c r="A56" s="7" t="s">
        <v>32</v>
      </c>
      <c r="B56" s="7" t="s">
        <v>36</v>
      </c>
      <c r="C56" s="8" t="n">
        <v>-2.7131</v>
      </c>
    </row>
    <row r="57" customFormat="false" ht="15" hidden="false" customHeight="false" outlineLevel="0" collapsed="false">
      <c r="A57" s="7" t="s">
        <v>32</v>
      </c>
      <c r="B57" s="7" t="s">
        <v>37</v>
      </c>
      <c r="C57" s="8" t="n">
        <v>-3.9363</v>
      </c>
    </row>
    <row r="58" customFormat="false" ht="15" hidden="false" customHeight="false" outlineLevel="0" collapsed="false">
      <c r="A58" s="7" t="s">
        <v>33</v>
      </c>
      <c r="B58" s="7" t="s">
        <v>34</v>
      </c>
      <c r="C58" s="8" t="n">
        <v>-4.4273</v>
      </c>
    </row>
    <row r="59" customFormat="false" ht="15" hidden="false" customHeight="false" outlineLevel="0" collapsed="false">
      <c r="A59" s="7" t="s">
        <v>33</v>
      </c>
      <c r="B59" s="7" t="s">
        <v>35</v>
      </c>
      <c r="C59" s="8" t="n">
        <v>-2.2902</v>
      </c>
    </row>
    <row r="60" customFormat="false" ht="15" hidden="false" customHeight="false" outlineLevel="0" collapsed="false">
      <c r="A60" s="7" t="s">
        <v>33</v>
      </c>
      <c r="B60" s="7" t="s">
        <v>36</v>
      </c>
      <c r="C60" s="8" t="n">
        <v>-3.7372</v>
      </c>
    </row>
    <row r="61" customFormat="false" ht="15" hidden="false" customHeight="false" outlineLevel="0" collapsed="false">
      <c r="A61" s="7" t="s">
        <v>33</v>
      </c>
      <c r="B61" s="7" t="s">
        <v>37</v>
      </c>
      <c r="C61" s="8" t="n">
        <v>-3.7372</v>
      </c>
    </row>
    <row r="62" customFormat="false" ht="15" hidden="false" customHeight="false" outlineLevel="0" collapsed="false">
      <c r="A62" s="7" t="s">
        <v>34</v>
      </c>
      <c r="B62" s="7" t="s">
        <v>35</v>
      </c>
      <c r="C62" s="8" t="n">
        <v>1</v>
      </c>
    </row>
    <row r="63" customFormat="false" ht="15" hidden="false" customHeight="false" outlineLevel="0" collapsed="false">
      <c r="A63" s="7" t="s">
        <v>34</v>
      </c>
      <c r="B63" s="7" t="s">
        <v>36</v>
      </c>
      <c r="C63" s="8" t="n">
        <v>-2.1411</v>
      </c>
    </row>
    <row r="64" customFormat="false" ht="15" hidden="false" customHeight="false" outlineLevel="0" collapsed="false">
      <c r="A64" s="7" t="s">
        <v>34</v>
      </c>
      <c r="B64" s="7" t="s">
        <v>37</v>
      </c>
      <c r="C64" s="8" t="n">
        <v>-1.6318</v>
      </c>
    </row>
    <row r="65" customFormat="false" ht="15" hidden="false" customHeight="false" outlineLevel="0" collapsed="false">
      <c r="A65" s="7" t="s">
        <v>35</v>
      </c>
      <c r="B65" s="7" t="s">
        <v>36</v>
      </c>
      <c r="C65" s="8" t="n">
        <v>-3.1598</v>
      </c>
    </row>
    <row r="66" customFormat="false" ht="15" hidden="false" customHeight="false" outlineLevel="0" collapsed="false">
      <c r="A66" s="7" t="s">
        <v>35</v>
      </c>
      <c r="B66" s="7" t="s">
        <v>37</v>
      </c>
      <c r="C66" s="8" t="n">
        <v>-3.1598</v>
      </c>
    </row>
    <row r="67" customFormat="false" ht="15" hidden="false" customHeight="false" outlineLevel="0" collapsed="false">
      <c r="A67" s="7" t="s">
        <v>36</v>
      </c>
      <c r="B67" s="7" t="s">
        <v>37</v>
      </c>
      <c r="C67" s="8" t="n">
        <v>1.1076</v>
      </c>
    </row>
    <row r="69" customFormat="false" ht="15" hidden="false" customHeight="false" outlineLevel="0" collapsed="false">
      <c r="A69" s="9" t="s">
        <v>18</v>
      </c>
      <c r="B69" s="9"/>
      <c r="C69" s="9"/>
      <c r="D69" s="9"/>
      <c r="E69" s="9"/>
      <c r="F69" s="9"/>
    </row>
    <row r="70" customFormat="false" ht="15" hidden="false" customHeight="false" outlineLevel="0" collapsed="false">
      <c r="B70" s="10" t="s">
        <v>32</v>
      </c>
      <c r="C70" s="10" t="s">
        <v>33</v>
      </c>
      <c r="D70" s="10" t="s">
        <v>34</v>
      </c>
      <c r="E70" s="10" t="s">
        <v>35</v>
      </c>
      <c r="F70" s="10" t="s">
        <v>36</v>
      </c>
      <c r="G70" s="10" t="s">
        <v>37</v>
      </c>
    </row>
    <row r="71" customFormat="false" ht="15" hidden="false" customHeight="false" outlineLevel="0" collapsed="false">
      <c r="A71" s="11" t="s">
        <v>32</v>
      </c>
      <c r="B71" s="12" t="n">
        <f aca="false">1</f>
        <v>1</v>
      </c>
      <c r="C71" s="12" t="n">
        <f aca="false">IF(C53&gt;=0,IF(C53=0,1,C53),1/ABS(C53))</f>
        <v>0.713724930411819</v>
      </c>
      <c r="D71" s="12" t="n">
        <f aca="false">IF(C54&gt;=0,IF(C54=0,1,C54),1/ABS(C54))</f>
        <v>0.300960062599693</v>
      </c>
      <c r="E71" s="12" t="n">
        <f aca="false">IF(C55&gt;=0,IF(C55=0,1,C55),1/ABS(C55))</f>
        <v>0.612820198553744</v>
      </c>
      <c r="F71" s="12" t="n">
        <f aca="false">IF(C56&gt;=0,IF(C56=0,1,C56),1/ABS(C56))</f>
        <v>0.368582064796727</v>
      </c>
      <c r="G71" s="12" t="n">
        <f aca="false">IF(C57&gt;=0,IF(C57=0,1,C57),1/ABS(C57))</f>
        <v>0.254045677412799</v>
      </c>
    </row>
    <row r="72" customFormat="false" ht="15" hidden="false" customHeight="false" outlineLevel="0" collapsed="false">
      <c r="A72" s="11" t="s">
        <v>33</v>
      </c>
      <c r="B72" s="12" t="n">
        <f aca="false">1/C71</f>
        <v>1.4011</v>
      </c>
      <c r="C72" s="12" t="n">
        <f aca="false">1</f>
        <v>1</v>
      </c>
      <c r="D72" s="12" t="n">
        <f aca="false">IF(C58&gt;=0,IF(C58=0,1,C58),1/ABS(C58))</f>
        <v>0.225871298534095</v>
      </c>
      <c r="E72" s="12" t="n">
        <f aca="false">IF(C59&gt;=0,IF(C59=0,1,C59),1/ABS(C59))</f>
        <v>0.436643087939918</v>
      </c>
      <c r="F72" s="12" t="n">
        <f aca="false">IF(C60&gt;=0,IF(C60=0,1,C60),1/ABS(C60))</f>
        <v>0.26758000642192</v>
      </c>
      <c r="G72" s="12" t="n">
        <f aca="false">IF(C61&gt;=0,IF(C61=0,1,C61),1/ABS(C61))</f>
        <v>0.26758000642192</v>
      </c>
    </row>
    <row r="73" customFormat="false" ht="15" hidden="false" customHeight="false" outlineLevel="0" collapsed="false">
      <c r="A73" s="11" t="s">
        <v>34</v>
      </c>
      <c r="B73" s="12" t="n">
        <f aca="false">1/D71</f>
        <v>3.3227</v>
      </c>
      <c r="C73" s="12" t="n">
        <f aca="false">1/D72</f>
        <v>4.4273</v>
      </c>
      <c r="D73" s="12" t="n">
        <f aca="false">1</f>
        <v>1</v>
      </c>
      <c r="E73" s="12" t="n">
        <f aca="false">IF(C62&gt;=0,IF(C62=0,1,C62),1/ABS(C62))</f>
        <v>1</v>
      </c>
      <c r="F73" s="12" t="n">
        <f aca="false">IF(C63&gt;=0,IF(C63=0,1,C63),1/ABS(C63))</f>
        <v>0.467049647377516</v>
      </c>
      <c r="G73" s="12" t="n">
        <f aca="false">IF(C64&gt;=0,IF(C64=0,1,C64),1/ABS(C64))</f>
        <v>0.612820198553744</v>
      </c>
    </row>
    <row r="74" customFormat="false" ht="15" hidden="false" customHeight="false" outlineLevel="0" collapsed="false">
      <c r="A74" s="11" t="s">
        <v>35</v>
      </c>
      <c r="B74" s="12" t="n">
        <f aca="false">1/E71</f>
        <v>1.6318</v>
      </c>
      <c r="C74" s="12" t="n">
        <f aca="false">1/E72</f>
        <v>2.2902</v>
      </c>
      <c r="D74" s="12" t="n">
        <f aca="false">1/E73</f>
        <v>1</v>
      </c>
      <c r="E74" s="12" t="n">
        <f aca="false">1</f>
        <v>1</v>
      </c>
      <c r="F74" s="12" t="n">
        <f aca="false">IF(C65&gt;=0,IF(C65=0,1,C65),1/ABS(C65))</f>
        <v>0.316475726311792</v>
      </c>
      <c r="G74" s="12" t="n">
        <f aca="false">IF(C66&gt;=0,IF(C66=0,1,C66),1/ABS(C66))</f>
        <v>0.316475726311792</v>
      </c>
    </row>
    <row r="75" customFormat="false" ht="15" hidden="false" customHeight="false" outlineLevel="0" collapsed="false">
      <c r="A75" s="11" t="s">
        <v>36</v>
      </c>
      <c r="B75" s="12" t="n">
        <f aca="false">1/F71</f>
        <v>2.7131</v>
      </c>
      <c r="C75" s="12" t="n">
        <f aca="false">1/F72</f>
        <v>3.7372</v>
      </c>
      <c r="D75" s="12" t="n">
        <f aca="false">1/F73</f>
        <v>2.1411</v>
      </c>
      <c r="E75" s="12" t="n">
        <f aca="false">1/F74</f>
        <v>3.1598</v>
      </c>
      <c r="F75" s="12" t="n">
        <f aca="false">1</f>
        <v>1</v>
      </c>
      <c r="G75" s="12" t="n">
        <f aca="false">IF(C67&gt;=0,IF(C67=0,1,C67),1/ABS(C67))</f>
        <v>1.1076</v>
      </c>
    </row>
    <row r="76" customFormat="false" ht="15" hidden="false" customHeight="false" outlineLevel="0" collapsed="false">
      <c r="A76" s="11" t="s">
        <v>37</v>
      </c>
      <c r="B76" s="12" t="n">
        <f aca="false">1/G71</f>
        <v>3.9363</v>
      </c>
      <c r="C76" s="12" t="n">
        <f aca="false">1/G72</f>
        <v>3.7372</v>
      </c>
      <c r="D76" s="12" t="n">
        <f aca="false">1/G73</f>
        <v>1.6318</v>
      </c>
      <c r="E76" s="12" t="n">
        <f aca="false">1/G74</f>
        <v>3.1598</v>
      </c>
      <c r="F76" s="12" t="n">
        <f aca="false">1/G75</f>
        <v>0.902853015529072</v>
      </c>
      <c r="G76" s="12" t="n">
        <f aca="false">1</f>
        <v>1</v>
      </c>
    </row>
    <row r="78" customFormat="false" ht="15" hidden="false" customHeight="false" outlineLevel="0" collapsed="false">
      <c r="A78" s="13" t="s">
        <v>19</v>
      </c>
      <c r="B78" s="12" t="n">
        <f aca="false">SUM(B71:B76)</f>
        <v>14.005</v>
      </c>
      <c r="C78" s="12" t="n">
        <f aca="false">SUM(C71:C76)</f>
        <v>15.9056249304118</v>
      </c>
      <c r="D78" s="12" t="n">
        <f aca="false">SUM(D71:D76)</f>
        <v>6.29973136113379</v>
      </c>
      <c r="E78" s="12" t="n">
        <f aca="false">SUM(E71:E76)</f>
        <v>9.36906328649366</v>
      </c>
      <c r="F78" s="12" t="n">
        <f aca="false">SUM(F71:F76)</f>
        <v>3.32254046043703</v>
      </c>
      <c r="G78" s="12" t="n">
        <f aca="false">SUM(G71:G76)</f>
        <v>3.55852160870026</v>
      </c>
    </row>
    <row r="80" customFormat="false" ht="15" hidden="false" customHeight="false" outlineLevel="0" collapsed="false">
      <c r="A80" s="14" t="s">
        <v>20</v>
      </c>
    </row>
    <row r="81" customFormat="false" ht="15" hidden="false" customHeight="false" outlineLevel="0" collapsed="false">
      <c r="A81" s="10" t="s">
        <v>21</v>
      </c>
      <c r="B81" s="10" t="s">
        <v>22</v>
      </c>
    </row>
    <row r="82" customFormat="false" ht="15" hidden="false" customHeight="false" outlineLevel="0" collapsed="false">
      <c r="A82" s="7" t="s">
        <v>32</v>
      </c>
      <c r="B82" s="15" t="n">
        <f aca="false">AVERAGE(B71/B78,C71/C78,D71/D78,E71/E78,F71/F78,G71/G78)</f>
        <v>0.0686304233394042</v>
      </c>
    </row>
    <row r="83" customFormat="false" ht="15" hidden="false" customHeight="false" outlineLevel="0" collapsed="false">
      <c r="A83" s="7" t="s">
        <v>33</v>
      </c>
      <c r="B83" s="15" t="n">
        <f aca="false">AVERAGE(B72/B78,C72/C78,D72/D78,E72/E78,F72/F78,G72/G78)</f>
        <v>0.0668502474916777</v>
      </c>
    </row>
    <row r="84" customFormat="false" ht="15" hidden="false" customHeight="false" outlineLevel="0" collapsed="false">
      <c r="A84" s="7" t="s">
        <v>34</v>
      </c>
      <c r="B84" s="15" t="n">
        <f aca="false">AVERAGE(B73/B78,C73/C78,D73/D78,E73/E78,F73/F78,G73/G78)</f>
        <v>0.182308716159693</v>
      </c>
    </row>
    <row r="85" customFormat="false" ht="15" hidden="false" customHeight="false" outlineLevel="0" collapsed="false">
      <c r="A85" s="7" t="s">
        <v>35</v>
      </c>
      <c r="B85" s="15" t="n">
        <f aca="false">AVERAGE(B74/B78,C74/C78,D74/D78,E74/E78,F74/F78,G74/G78)</f>
        <v>0.118359874647899</v>
      </c>
    </row>
    <row r="86" customFormat="false" ht="15" hidden="false" customHeight="false" outlineLevel="0" collapsed="false">
      <c r="A86" s="7" t="s">
        <v>36</v>
      </c>
      <c r="B86" s="15" t="n">
        <f aca="false">AVERAGE(B75/B78,C75/C78,D75/D78,E75/E78,F75/F78,G75/G78)</f>
        <v>0.286340412842043</v>
      </c>
    </row>
    <row r="87" customFormat="false" ht="15" hidden="false" customHeight="false" outlineLevel="0" collapsed="false">
      <c r="A87" s="7" t="s">
        <v>37</v>
      </c>
      <c r="B87" s="15" t="n">
        <f aca="false">AVERAGE(B76/B78,C76/C78,D76/D78,E76/E78,F76/F78,G76/G78)</f>
        <v>0.277510325519283</v>
      </c>
    </row>
    <row r="89" customFormat="false" ht="15" hidden="false" customHeight="false" outlineLevel="0" collapsed="false">
      <c r="A89" s="14" t="s">
        <v>23</v>
      </c>
    </row>
    <row r="90" customFormat="false" ht="15" hidden="false" customHeight="false" outlineLevel="0" collapsed="false">
      <c r="A90" s="0" t="s">
        <v>24</v>
      </c>
      <c r="B90" s="16" t="n">
        <f aca="false"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6.1948450995208</v>
      </c>
    </row>
    <row r="91" customFormat="false" ht="15" hidden="false" customHeight="false" outlineLevel="0" collapsed="false">
      <c r="A91" s="0" t="s">
        <v>25</v>
      </c>
      <c r="B91" s="16" t="n">
        <f aca="false">(B90-6)/5</f>
        <v>0.0389690199041604</v>
      </c>
    </row>
    <row r="92" customFormat="false" ht="15" hidden="false" customHeight="false" outlineLevel="0" collapsed="false">
      <c r="A92" s="0" t="s">
        <v>38</v>
      </c>
      <c r="B92" s="17" t="n">
        <v>1.24</v>
      </c>
    </row>
    <row r="93" customFormat="false" ht="15" hidden="false" customHeight="false" outlineLevel="0" collapsed="false">
      <c r="A93" s="18" t="s">
        <v>27</v>
      </c>
      <c r="B93" s="19" t="n">
        <f aca="false">IF(B92=0,0,B91/B92)</f>
        <v>0.0314266289549681</v>
      </c>
    </row>
    <row r="94" customFormat="false" ht="15" hidden="false" customHeight="false" outlineLevel="0" collapsed="false">
      <c r="A94" s="18" t="s">
        <v>28</v>
      </c>
      <c r="B94" s="11" t="str">
        <f aca="false">IF(B93&lt;0.1,"✓ PASS","✗ FAIL — revise judgements")</f>
        <v>✓ PASS</v>
      </c>
    </row>
    <row r="97" customFormat="false" ht="19.5" hidden="false" customHeight="true" outlineLevel="0" collapsed="false">
      <c r="A97" s="4" t="s">
        <v>41</v>
      </c>
      <c r="B97" s="4"/>
      <c r="C97" s="4"/>
      <c r="D97" s="4"/>
      <c r="E97" s="4"/>
      <c r="F97" s="4"/>
    </row>
    <row r="98" customFormat="false" ht="27.75" hidden="false" customHeight="true" outlineLevel="0" collapsed="false">
      <c r="A98" s="5" t="s">
        <v>46</v>
      </c>
      <c r="B98" s="5"/>
      <c r="C98" s="5"/>
      <c r="D98" s="5"/>
      <c r="E98" s="5"/>
      <c r="F98" s="5"/>
    </row>
    <row r="99" customFormat="false" ht="49.5" hidden="false" customHeight="true" outlineLevel="0" collapsed="false">
      <c r="A99" s="6" t="s">
        <v>12</v>
      </c>
      <c r="B99" s="6" t="s">
        <v>13</v>
      </c>
      <c r="C99" s="6" t="s">
        <v>14</v>
      </c>
    </row>
    <row r="100" customFormat="false" ht="15" hidden="false" customHeight="false" outlineLevel="0" collapsed="false">
      <c r="A100" s="7" t="s">
        <v>32</v>
      </c>
      <c r="B100" s="7" t="s">
        <v>33</v>
      </c>
      <c r="C100" s="8" t="n">
        <v>1.5281</v>
      </c>
    </row>
    <row r="101" customFormat="false" ht="15" hidden="false" customHeight="false" outlineLevel="0" collapsed="false">
      <c r="A101" s="7" t="s">
        <v>32</v>
      </c>
      <c r="B101" s="7" t="s">
        <v>34</v>
      </c>
      <c r="C101" s="8" t="n">
        <v>1.3121</v>
      </c>
    </row>
    <row r="102" customFormat="false" ht="15" hidden="false" customHeight="false" outlineLevel="0" collapsed="false">
      <c r="A102" s="7" t="s">
        <v>32</v>
      </c>
      <c r="B102" s="7" t="s">
        <v>35</v>
      </c>
      <c r="C102" s="8" t="n">
        <v>1.8103</v>
      </c>
    </row>
    <row r="103" customFormat="false" ht="15" hidden="false" customHeight="false" outlineLevel="0" collapsed="false">
      <c r="A103" s="7" t="s">
        <v>32</v>
      </c>
      <c r="B103" s="7" t="s">
        <v>36</v>
      </c>
      <c r="C103" s="8" t="n">
        <v>1.2457</v>
      </c>
    </row>
    <row r="104" customFormat="false" ht="15" hidden="false" customHeight="false" outlineLevel="0" collapsed="false">
      <c r="A104" s="7" t="s">
        <v>32</v>
      </c>
      <c r="B104" s="7" t="s">
        <v>37</v>
      </c>
      <c r="C104" s="8" t="n">
        <v>1.5518</v>
      </c>
    </row>
    <row r="105" customFormat="false" ht="15" hidden="false" customHeight="false" outlineLevel="0" collapsed="false">
      <c r="A105" s="7" t="s">
        <v>33</v>
      </c>
      <c r="B105" s="7" t="s">
        <v>34</v>
      </c>
      <c r="C105" s="8" t="n">
        <v>1.5281</v>
      </c>
    </row>
    <row r="106" customFormat="false" ht="15" hidden="false" customHeight="false" outlineLevel="0" collapsed="false">
      <c r="A106" s="7" t="s">
        <v>33</v>
      </c>
      <c r="B106" s="7" t="s">
        <v>35</v>
      </c>
      <c r="C106" s="8" t="n">
        <v>-1.3324</v>
      </c>
    </row>
    <row r="107" customFormat="false" ht="15" hidden="false" customHeight="false" outlineLevel="0" collapsed="false">
      <c r="A107" s="7" t="s">
        <v>33</v>
      </c>
      <c r="B107" s="7" t="s">
        <v>36</v>
      </c>
      <c r="C107" s="8" t="n">
        <v>-1.0515</v>
      </c>
    </row>
    <row r="108" customFormat="false" ht="15" hidden="false" customHeight="false" outlineLevel="0" collapsed="false">
      <c r="A108" s="7" t="s">
        <v>33</v>
      </c>
      <c r="B108" s="7" t="s">
        <v>37</v>
      </c>
      <c r="C108" s="8" t="n">
        <v>1.4034</v>
      </c>
    </row>
    <row r="109" customFormat="false" ht="15" hidden="false" customHeight="false" outlineLevel="0" collapsed="false">
      <c r="A109" s="7" t="s">
        <v>34</v>
      </c>
      <c r="B109" s="7" t="s">
        <v>35</v>
      </c>
      <c r="C109" s="8" t="n">
        <v>1</v>
      </c>
    </row>
    <row r="110" customFormat="false" ht="15" hidden="false" customHeight="false" outlineLevel="0" collapsed="false">
      <c r="A110" s="7" t="s">
        <v>34</v>
      </c>
      <c r="B110" s="7" t="s">
        <v>36</v>
      </c>
      <c r="C110" s="8" t="n">
        <v>1.1076</v>
      </c>
    </row>
    <row r="111" customFormat="false" ht="15" hidden="false" customHeight="false" outlineLevel="0" collapsed="false">
      <c r="A111" s="7" t="s">
        <v>34</v>
      </c>
      <c r="B111" s="7" t="s">
        <v>37</v>
      </c>
      <c r="C111" s="8" t="n">
        <v>1.3797</v>
      </c>
    </row>
    <row r="112" customFormat="false" ht="15" hidden="false" customHeight="false" outlineLevel="0" collapsed="false">
      <c r="A112" s="7" t="s">
        <v>35</v>
      </c>
      <c r="B112" s="7" t="s">
        <v>36</v>
      </c>
      <c r="C112" s="8" t="n">
        <v>1.9364</v>
      </c>
    </row>
    <row r="113" customFormat="false" ht="15" hidden="false" customHeight="false" outlineLevel="0" collapsed="false">
      <c r="A113" s="7" t="s">
        <v>35</v>
      </c>
      <c r="B113" s="7" t="s">
        <v>37</v>
      </c>
      <c r="C113" s="8" t="n">
        <v>1.4758</v>
      </c>
    </row>
    <row r="114" customFormat="false" ht="15" hidden="false" customHeight="false" outlineLevel="0" collapsed="false">
      <c r="A114" s="7" t="s">
        <v>36</v>
      </c>
      <c r="B114" s="7" t="s">
        <v>37</v>
      </c>
      <c r="C114" s="8" t="n">
        <v>-1.0515</v>
      </c>
    </row>
    <row r="116" customFormat="false" ht="15" hidden="false" customHeight="false" outlineLevel="0" collapsed="false">
      <c r="A116" s="9" t="s">
        <v>18</v>
      </c>
      <c r="B116" s="9"/>
      <c r="C116" s="9"/>
      <c r="D116" s="9"/>
      <c r="E116" s="9"/>
      <c r="F116" s="9"/>
    </row>
    <row r="117" customFormat="false" ht="15" hidden="false" customHeight="false" outlineLevel="0" collapsed="false">
      <c r="B117" s="10" t="s">
        <v>32</v>
      </c>
      <c r="C117" s="10" t="s">
        <v>33</v>
      </c>
      <c r="D117" s="10" t="s">
        <v>34</v>
      </c>
      <c r="E117" s="10" t="s">
        <v>35</v>
      </c>
      <c r="F117" s="10" t="s">
        <v>36</v>
      </c>
      <c r="G117" s="10" t="s">
        <v>37</v>
      </c>
    </row>
    <row r="118" customFormat="false" ht="15" hidden="false" customHeight="false" outlineLevel="0" collapsed="false">
      <c r="A118" s="11" t="s">
        <v>32</v>
      </c>
      <c r="B118" s="12" t="n">
        <f aca="false">1</f>
        <v>1</v>
      </c>
      <c r="C118" s="12" t="n">
        <f aca="false">IF(C100&gt;=0,IF(C100=0,1,C100),1/ABS(C100))</f>
        <v>1.5281</v>
      </c>
      <c r="D118" s="12" t="n">
        <f aca="false">IF(C101&gt;=0,IF(C101=0,1,C101),1/ABS(C101))</f>
        <v>1.3121</v>
      </c>
      <c r="E118" s="12" t="n">
        <f aca="false">IF(C102&gt;=0,IF(C102=0,1,C102),1/ABS(C102))</f>
        <v>1.8103</v>
      </c>
      <c r="F118" s="12" t="n">
        <f aca="false">IF(C103&gt;=0,IF(C103=0,1,C103),1/ABS(C103))</f>
        <v>1.2457</v>
      </c>
      <c r="G118" s="12" t="n">
        <f aca="false">IF(C104&gt;=0,IF(C104=0,1,C104),1/ABS(C104))</f>
        <v>1.5518</v>
      </c>
    </row>
    <row r="119" customFormat="false" ht="15" hidden="false" customHeight="false" outlineLevel="0" collapsed="false">
      <c r="A119" s="11" t="s">
        <v>33</v>
      </c>
      <c r="B119" s="12" t="n">
        <f aca="false">1/C118</f>
        <v>0.654407434068451</v>
      </c>
      <c r="C119" s="12" t="n">
        <f aca="false">1</f>
        <v>1</v>
      </c>
      <c r="D119" s="12" t="n">
        <f aca="false">IF(C105&gt;=0,IF(C105=0,1,C105),1/ABS(C105))</f>
        <v>1.5281</v>
      </c>
      <c r="E119" s="12" t="n">
        <f aca="false">IF(C106&gt;=0,IF(C106=0,1,C106),1/ABS(C106))</f>
        <v>0.75052536775743</v>
      </c>
      <c r="F119" s="12" t="n">
        <f aca="false">IF(C107&gt;=0,IF(C107=0,1,C107),1/ABS(C107))</f>
        <v>0.951022349025202</v>
      </c>
      <c r="G119" s="12" t="n">
        <f aca="false">IF(C108&gt;=0,IF(C108=0,1,C108),1/ABS(C108))</f>
        <v>1.4034</v>
      </c>
    </row>
    <row r="120" customFormat="false" ht="15" hidden="false" customHeight="false" outlineLevel="0" collapsed="false">
      <c r="A120" s="11" t="s">
        <v>34</v>
      </c>
      <c r="B120" s="12" t="n">
        <f aca="false">1/D118</f>
        <v>0.762137032238397</v>
      </c>
      <c r="C120" s="12" t="n">
        <f aca="false">1/D119</f>
        <v>0.654407434068451</v>
      </c>
      <c r="D120" s="12" t="n">
        <f aca="false">1</f>
        <v>1</v>
      </c>
      <c r="E120" s="12" t="n">
        <f aca="false">IF(C109&gt;=0,IF(C109=0,1,C109),1/ABS(C109))</f>
        <v>1</v>
      </c>
      <c r="F120" s="12" t="n">
        <f aca="false">IF(C110&gt;=0,IF(C110=0,1,C110),1/ABS(C110))</f>
        <v>1.1076</v>
      </c>
      <c r="G120" s="12" t="n">
        <f aca="false">IF(C111&gt;=0,IF(C111=0,1,C111),1/ABS(C111))</f>
        <v>1.3797</v>
      </c>
    </row>
    <row r="121" customFormat="false" ht="15" hidden="false" customHeight="false" outlineLevel="0" collapsed="false">
      <c r="A121" s="11" t="s">
        <v>35</v>
      </c>
      <c r="B121" s="12" t="n">
        <f aca="false">1/E118</f>
        <v>0.552394630724189</v>
      </c>
      <c r="C121" s="12" t="n">
        <f aca="false">1/E119</f>
        <v>1.3324</v>
      </c>
      <c r="D121" s="12" t="n">
        <f aca="false">1/E120</f>
        <v>1</v>
      </c>
      <c r="E121" s="12" t="n">
        <f aca="false">1</f>
        <v>1</v>
      </c>
      <c r="F121" s="12" t="n">
        <f aca="false">IF(C112&gt;=0,IF(C112=0,1,C112),1/ABS(C112))</f>
        <v>1.9364</v>
      </c>
      <c r="G121" s="12" t="n">
        <f aca="false">IF(C113&gt;=0,IF(C113=0,1,C113),1/ABS(C113))</f>
        <v>1.4758</v>
      </c>
    </row>
    <row r="122" customFormat="false" ht="15" hidden="false" customHeight="false" outlineLevel="0" collapsed="false">
      <c r="A122" s="11" t="s">
        <v>36</v>
      </c>
      <c r="B122" s="12" t="n">
        <f aca="false">1/F118</f>
        <v>0.802761499558481</v>
      </c>
      <c r="C122" s="12" t="n">
        <f aca="false">1/F119</f>
        <v>1.0515</v>
      </c>
      <c r="D122" s="12" t="n">
        <f aca="false">1/F120</f>
        <v>0.902853015529072</v>
      </c>
      <c r="E122" s="12" t="n">
        <f aca="false">1/F121</f>
        <v>0.516422226812642</v>
      </c>
      <c r="F122" s="12" t="n">
        <f aca="false">1</f>
        <v>1</v>
      </c>
      <c r="G122" s="12" t="n">
        <f aca="false">IF(C114&gt;=0,IF(C114=0,1,C114),1/ABS(C114))</f>
        <v>0.951022349025202</v>
      </c>
    </row>
    <row r="123" customFormat="false" ht="15" hidden="false" customHeight="false" outlineLevel="0" collapsed="false">
      <c r="A123" s="11" t="s">
        <v>37</v>
      </c>
      <c r="B123" s="12" t="n">
        <f aca="false">1/G118</f>
        <v>0.644412939811831</v>
      </c>
      <c r="C123" s="12" t="n">
        <f aca="false">1/G119</f>
        <v>0.712555223029785</v>
      </c>
      <c r="D123" s="12" t="n">
        <f aca="false">1/G120</f>
        <v>0.724795245343191</v>
      </c>
      <c r="E123" s="12" t="n">
        <f aca="false">1/G121</f>
        <v>0.677598590594932</v>
      </c>
      <c r="F123" s="12" t="n">
        <f aca="false">1/G122</f>
        <v>1.0515</v>
      </c>
      <c r="G123" s="12" t="n">
        <f aca="false">1</f>
        <v>1</v>
      </c>
    </row>
    <row r="125" customFormat="false" ht="15" hidden="false" customHeight="false" outlineLevel="0" collapsed="false">
      <c r="A125" s="13" t="s">
        <v>19</v>
      </c>
      <c r="B125" s="12" t="n">
        <f aca="false">SUM(B118:B123)</f>
        <v>4.41611353640135</v>
      </c>
      <c r="C125" s="12" t="n">
        <f aca="false">SUM(C118:C123)</f>
        <v>6.27896265709824</v>
      </c>
      <c r="D125" s="12" t="n">
        <f aca="false">SUM(D118:D123)</f>
        <v>6.46784826087226</v>
      </c>
      <c r="E125" s="12" t="n">
        <f aca="false">SUM(E118:E123)</f>
        <v>5.754846185165</v>
      </c>
      <c r="F125" s="12" t="n">
        <f aca="false">SUM(F118:F123)</f>
        <v>7.2922223490252</v>
      </c>
      <c r="G125" s="12" t="n">
        <f aca="false">SUM(G118:G123)</f>
        <v>7.7617223490252</v>
      </c>
    </row>
    <row r="127" customFormat="false" ht="15" hidden="false" customHeight="false" outlineLevel="0" collapsed="false">
      <c r="A127" s="14" t="s">
        <v>20</v>
      </c>
    </row>
    <row r="128" customFormat="false" ht="15" hidden="false" customHeight="false" outlineLevel="0" collapsed="false">
      <c r="A128" s="10" t="s">
        <v>21</v>
      </c>
      <c r="B128" s="10" t="s">
        <v>22</v>
      </c>
    </row>
    <row r="129" customFormat="false" ht="15" hidden="false" customHeight="false" outlineLevel="0" collapsed="false">
      <c r="A129" s="7" t="s">
        <v>32</v>
      </c>
      <c r="B129" s="15" t="n">
        <f aca="false">AVERAGE(B118/B125,C118/C125,D118/D125,E118/E125,F118/F125,G118/G125)</f>
        <v>0.226333670438452</v>
      </c>
    </row>
    <row r="130" customFormat="false" ht="15" hidden="false" customHeight="false" outlineLevel="0" collapsed="false">
      <c r="A130" s="7" t="s">
        <v>33</v>
      </c>
      <c r="B130" s="15" t="n">
        <f aca="false">AVERAGE(B119/B125,C119/C125,D119/D125,E119/E125,F119/F125,G119/G125)</f>
        <v>0.164225301845899</v>
      </c>
    </row>
    <row r="131" customFormat="false" ht="15" hidden="false" customHeight="false" outlineLevel="0" collapsed="false">
      <c r="A131" s="7" t="s">
        <v>34</v>
      </c>
      <c r="B131" s="15" t="n">
        <f aca="false">AVERAGE(B120/B125,C120/C125,D120/D125,E120/E125,F120/F125,G120/G125)</f>
        <v>0.155804244904485</v>
      </c>
    </row>
    <row r="132" customFormat="false" ht="15" hidden="false" customHeight="false" outlineLevel="0" collapsed="false">
      <c r="A132" s="7" t="s">
        <v>35</v>
      </c>
      <c r="B132" s="15" t="n">
        <f aca="false">AVERAGE(B121/B125,C121/C125,D121/D125,E121/E125,F121/F125,G121/G125)</f>
        <v>0.186890953765719</v>
      </c>
    </row>
    <row r="133" customFormat="false" ht="15" hidden="false" customHeight="false" outlineLevel="0" collapsed="false">
      <c r="A133" s="7" t="s">
        <v>36</v>
      </c>
      <c r="B133" s="15" t="n">
        <f aca="false">AVERAGE(B122/B125,C122/C125,D122/D125,E122/E125,F122/F125,G122/G125)</f>
        <v>0.139705260156143</v>
      </c>
    </row>
    <row r="134" customFormat="false" ht="15" hidden="false" customHeight="false" outlineLevel="0" collapsed="false">
      <c r="A134" s="7" t="s">
        <v>37</v>
      </c>
      <c r="B134" s="15" t="n">
        <f aca="false">AVERAGE(B123/B125,C123/C125,D123/D125,E123/E125,F123/F125,G123/G125)</f>
        <v>0.127040568889303</v>
      </c>
    </row>
    <row r="136" customFormat="false" ht="15" hidden="false" customHeight="false" outlineLevel="0" collapsed="false">
      <c r="A136" s="14" t="s">
        <v>23</v>
      </c>
    </row>
    <row r="137" customFormat="false" ht="15" hidden="false" customHeight="false" outlineLevel="0" collapsed="false">
      <c r="A137" s="0" t="s">
        <v>24</v>
      </c>
      <c r="B137" s="16" t="n">
        <f aca="false"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6.11604567379263</v>
      </c>
    </row>
    <row r="138" customFormat="false" ht="15" hidden="false" customHeight="false" outlineLevel="0" collapsed="false">
      <c r="A138" s="0" t="s">
        <v>25</v>
      </c>
      <c r="B138" s="16" t="n">
        <f aca="false">(B137-6)/5</f>
        <v>0.0232091347585254</v>
      </c>
    </row>
    <row r="139" customFormat="false" ht="15" hidden="false" customHeight="false" outlineLevel="0" collapsed="false">
      <c r="A139" s="0" t="s">
        <v>38</v>
      </c>
      <c r="B139" s="17" t="n">
        <v>1.24</v>
      </c>
    </row>
    <row r="140" customFormat="false" ht="15" hidden="false" customHeight="false" outlineLevel="0" collapsed="false">
      <c r="A140" s="18" t="s">
        <v>27</v>
      </c>
      <c r="B140" s="19" t="n">
        <f aca="false">IF(B139=0,0,B138/B139)</f>
        <v>0.0187170441601011</v>
      </c>
    </row>
    <row r="141" customFormat="false" ht="15" hidden="false" customHeight="false" outlineLevel="0" collapsed="false">
      <c r="A141" s="18" t="s">
        <v>28</v>
      </c>
      <c r="B141" s="11" t="str">
        <f aca="false">IF(B140&lt;0.1,"✓ PASS","✗ FAIL — revise judgements")</f>
        <v>✓ PASS</v>
      </c>
    </row>
  </sheetData>
  <mergeCells count="10">
    <mergeCell ref="A1:F1"/>
    <mergeCell ref="A3:F3"/>
    <mergeCell ref="A4:F4"/>
    <mergeCell ref="A22:F22"/>
    <mergeCell ref="A50:F50"/>
    <mergeCell ref="A51:F51"/>
    <mergeCell ref="A69:F69"/>
    <mergeCell ref="A97:F97"/>
    <mergeCell ref="A98:F98"/>
    <mergeCell ref="A116:F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4"/>
  </cols>
  <sheetData>
    <row r="1" customFormat="false" ht="27.75" hidden="false" customHeight="true" outlineLevel="0" collapsed="false">
      <c r="A1" s="3" t="s">
        <v>47</v>
      </c>
      <c r="B1" s="3"/>
      <c r="C1" s="3"/>
      <c r="D1" s="3"/>
      <c r="E1" s="3"/>
      <c r="F1" s="3"/>
    </row>
    <row r="3" customFormat="false" ht="19.5" hidden="false" customHeight="true" outlineLevel="0" collapsed="false">
      <c r="A3" s="4" t="s">
        <v>30</v>
      </c>
      <c r="B3" s="4"/>
      <c r="C3" s="4"/>
      <c r="D3" s="4"/>
      <c r="E3" s="4"/>
      <c r="F3" s="4"/>
    </row>
    <row r="4" customFormat="false" ht="27.75" hidden="false" customHeight="true" outlineLevel="0" collapsed="false">
      <c r="A4" s="5" t="s">
        <v>48</v>
      </c>
      <c r="B4" s="5"/>
      <c r="C4" s="5"/>
      <c r="D4" s="5"/>
      <c r="E4" s="5"/>
      <c r="F4" s="5"/>
    </row>
    <row r="5" customFormat="false" ht="30" hidden="false" customHeight="true" outlineLevel="0" collapsed="false">
      <c r="A5" s="6" t="s">
        <v>12</v>
      </c>
      <c r="B5" s="6" t="s">
        <v>13</v>
      </c>
      <c r="C5" s="6" t="s">
        <v>14</v>
      </c>
    </row>
    <row r="6" customFormat="false" ht="15" hidden="false" customHeight="false" outlineLevel="0" collapsed="false">
      <c r="A6" s="7" t="s">
        <v>32</v>
      </c>
      <c r="B6" s="7" t="s">
        <v>33</v>
      </c>
      <c r="C6" s="8" t="n">
        <v>-4.9878</v>
      </c>
    </row>
    <row r="7" customFormat="false" ht="15" hidden="false" customHeight="false" outlineLevel="0" collapsed="false">
      <c r="A7" s="7" t="s">
        <v>32</v>
      </c>
      <c r="B7" s="7" t="s">
        <v>34</v>
      </c>
      <c r="C7" s="8" t="n">
        <v>-4.3597</v>
      </c>
    </row>
    <row r="8" customFormat="false" ht="15" hidden="false" customHeight="false" outlineLevel="0" collapsed="false">
      <c r="A8" s="7" t="s">
        <v>32</v>
      </c>
      <c r="B8" s="7" t="s">
        <v>35</v>
      </c>
      <c r="C8" s="8" t="n">
        <v>-1.7188</v>
      </c>
    </row>
    <row r="9" customFormat="false" ht="15" hidden="false" customHeight="false" outlineLevel="0" collapsed="false">
      <c r="A9" s="7" t="s">
        <v>32</v>
      </c>
      <c r="B9" s="7" t="s">
        <v>36</v>
      </c>
      <c r="C9" s="8" t="n">
        <v>-2.4082</v>
      </c>
    </row>
    <row r="10" customFormat="false" ht="15" hidden="false" customHeight="false" outlineLevel="0" collapsed="false">
      <c r="A10" s="7" t="s">
        <v>32</v>
      </c>
      <c r="B10" s="7" t="s">
        <v>37</v>
      </c>
      <c r="C10" s="8" t="n">
        <v>-2.2902</v>
      </c>
    </row>
    <row r="11" customFormat="false" ht="15" hidden="false" customHeight="false" outlineLevel="0" collapsed="false">
      <c r="A11" s="7" t="s">
        <v>33</v>
      </c>
      <c r="B11" s="7" t="s">
        <v>34</v>
      </c>
      <c r="C11" s="8" t="n">
        <v>3.3227</v>
      </c>
    </row>
    <row r="12" customFormat="false" ht="15" hidden="false" customHeight="false" outlineLevel="0" collapsed="false">
      <c r="A12" s="7" t="s">
        <v>33</v>
      </c>
      <c r="B12" s="7" t="s">
        <v>35</v>
      </c>
      <c r="C12" s="8" t="n">
        <v>1.9332</v>
      </c>
    </row>
    <row r="13" customFormat="false" ht="15" hidden="false" customHeight="false" outlineLevel="0" collapsed="false">
      <c r="A13" s="7" t="s">
        <v>33</v>
      </c>
      <c r="B13" s="7" t="s">
        <v>36</v>
      </c>
      <c r="C13" s="8" t="n">
        <v>1.9332</v>
      </c>
    </row>
    <row r="14" customFormat="false" ht="15" hidden="false" customHeight="false" outlineLevel="0" collapsed="false">
      <c r="A14" s="7" t="s">
        <v>33</v>
      </c>
      <c r="B14" s="7" t="s">
        <v>37</v>
      </c>
      <c r="C14" s="8" t="n">
        <v>2.8529</v>
      </c>
    </row>
    <row r="15" customFormat="false" ht="15" hidden="false" customHeight="false" outlineLevel="0" collapsed="false">
      <c r="A15" s="7" t="s">
        <v>34</v>
      </c>
      <c r="B15" s="7" t="s">
        <v>35</v>
      </c>
      <c r="C15" s="8" t="n">
        <v>1.9332</v>
      </c>
    </row>
    <row r="16" customFormat="false" ht="15" hidden="false" customHeight="false" outlineLevel="0" collapsed="false">
      <c r="A16" s="7" t="s">
        <v>34</v>
      </c>
      <c r="B16" s="7" t="s">
        <v>36</v>
      </c>
      <c r="C16" s="8" t="n">
        <v>-1.9332</v>
      </c>
    </row>
    <row r="17" customFormat="false" ht="15" hidden="false" customHeight="false" outlineLevel="0" collapsed="false">
      <c r="A17" s="7" t="s">
        <v>34</v>
      </c>
      <c r="B17" s="7" t="s">
        <v>37</v>
      </c>
      <c r="C17" s="8" t="n">
        <v>-2.3714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8" t="n">
        <v>-2.2902</v>
      </c>
    </row>
    <row r="19" customFormat="false" ht="15" hidden="false" customHeight="false" outlineLevel="0" collapsed="false">
      <c r="A19" s="7" t="s">
        <v>35</v>
      </c>
      <c r="B19" s="7" t="s">
        <v>37</v>
      </c>
      <c r="C19" s="8" t="n">
        <v>-2.1411</v>
      </c>
    </row>
    <row r="20" customFormat="false" ht="15" hidden="false" customHeight="false" outlineLevel="0" collapsed="false">
      <c r="A20" s="7" t="s">
        <v>36</v>
      </c>
      <c r="B20" s="7" t="s">
        <v>37</v>
      </c>
      <c r="C20" s="8" t="n">
        <v>-1.4758</v>
      </c>
    </row>
    <row r="22" customFormat="false" ht="15" hidden="false" customHeight="false" outlineLevel="0" collapsed="false">
      <c r="A22" s="9" t="s">
        <v>18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B23" s="10" t="s">
        <v>32</v>
      </c>
      <c r="C23" s="10" t="s">
        <v>33</v>
      </c>
      <c r="D23" s="10" t="s">
        <v>34</v>
      </c>
      <c r="E23" s="10" t="s">
        <v>35</v>
      </c>
      <c r="F23" s="10" t="s">
        <v>36</v>
      </c>
      <c r="G23" s="10" t="s">
        <v>37</v>
      </c>
    </row>
    <row r="24" customFormat="false" ht="15" hidden="false" customHeight="false" outlineLevel="0" collapsed="false">
      <c r="A24" s="11" t="s">
        <v>32</v>
      </c>
      <c r="B24" s="12" t="n">
        <f aca="false">1</f>
        <v>1</v>
      </c>
      <c r="C24" s="12" t="n">
        <f aca="false">IF(C6&gt;=0,IF(C6=0,1,C6),1/ABS(C6))</f>
        <v>0.200489193632463</v>
      </c>
      <c r="D24" s="12" t="n">
        <f aca="false">IF(C7&gt;=0,IF(C7=0,1,C7),1/ABS(C7))</f>
        <v>0.229373580750969</v>
      </c>
      <c r="E24" s="12" t="n">
        <f aca="false">IF(C8&gt;=0,IF(C8=0,1,C8),1/ABS(C8))</f>
        <v>0.581801256690714</v>
      </c>
      <c r="F24" s="12" t="n">
        <f aca="false">IF(C9&gt;=0,IF(C9=0,1,C9),1/ABS(C9))</f>
        <v>0.41524790299809</v>
      </c>
      <c r="G24" s="12" t="n">
        <f aca="false">IF(C10&gt;=0,IF(C10=0,1,C10),1/ABS(C10))</f>
        <v>0.436643087939918</v>
      </c>
    </row>
    <row r="25" customFormat="false" ht="15" hidden="false" customHeight="false" outlineLevel="0" collapsed="false">
      <c r="A25" s="11" t="s">
        <v>33</v>
      </c>
      <c r="B25" s="12" t="n">
        <f aca="false">1/C24</f>
        <v>4.9878</v>
      </c>
      <c r="C25" s="12" t="n">
        <f aca="false">1</f>
        <v>1</v>
      </c>
      <c r="D25" s="12" t="n">
        <f aca="false">IF(C11&gt;=0,IF(C11=0,1,C11),1/ABS(C11))</f>
        <v>3.3227</v>
      </c>
      <c r="E25" s="12" t="n">
        <f aca="false">IF(C12&gt;=0,IF(C12=0,1,C12),1/ABS(C12))</f>
        <v>1.9332</v>
      </c>
      <c r="F25" s="12" t="n">
        <f aca="false">IF(C13&gt;=0,IF(C13=0,1,C13),1/ABS(C13))</f>
        <v>1.9332</v>
      </c>
      <c r="G25" s="12" t="n">
        <f aca="false">IF(C14&gt;=0,IF(C14=0,1,C14),1/ABS(C14))</f>
        <v>2.8529</v>
      </c>
    </row>
    <row r="26" customFormat="false" ht="15" hidden="false" customHeight="false" outlineLevel="0" collapsed="false">
      <c r="A26" s="11" t="s">
        <v>34</v>
      </c>
      <c r="B26" s="12" t="n">
        <f aca="false">1/D24</f>
        <v>4.3597</v>
      </c>
      <c r="C26" s="12" t="n">
        <f aca="false">1/D25</f>
        <v>0.300960062599693</v>
      </c>
      <c r="D26" s="12" t="n">
        <f aca="false">1</f>
        <v>1</v>
      </c>
      <c r="E26" s="12" t="n">
        <f aca="false">IF(C15&gt;=0,IF(C15=0,1,C15),1/ABS(C15))</f>
        <v>1.9332</v>
      </c>
      <c r="F26" s="12" t="n">
        <f aca="false">IF(C16&gt;=0,IF(C16=0,1,C16),1/ABS(C16))</f>
        <v>0.517277053589903</v>
      </c>
      <c r="G26" s="12" t="n">
        <f aca="false">IF(C17&gt;=0,IF(C17=0,1,C17),1/ABS(C17))</f>
        <v>0.421691827612381</v>
      </c>
    </row>
    <row r="27" customFormat="false" ht="15" hidden="false" customHeight="false" outlineLevel="0" collapsed="false">
      <c r="A27" s="11" t="s">
        <v>35</v>
      </c>
      <c r="B27" s="12" t="n">
        <f aca="false">1/E24</f>
        <v>1.7188</v>
      </c>
      <c r="C27" s="12" t="n">
        <f aca="false">1/E25</f>
        <v>0.517277053589903</v>
      </c>
      <c r="D27" s="12" t="n">
        <f aca="false">1/E26</f>
        <v>0.517277053589903</v>
      </c>
      <c r="E27" s="12" t="n">
        <f aca="false">1</f>
        <v>1</v>
      </c>
      <c r="F27" s="12" t="n">
        <f aca="false">IF(C18&gt;=0,IF(C18=0,1,C18),1/ABS(C18))</f>
        <v>0.436643087939918</v>
      </c>
      <c r="G27" s="12" t="n">
        <f aca="false">IF(C19&gt;=0,IF(C19=0,1,C19),1/ABS(C19))</f>
        <v>0.467049647377516</v>
      </c>
    </row>
    <row r="28" customFormat="false" ht="15" hidden="false" customHeight="false" outlineLevel="0" collapsed="false">
      <c r="A28" s="11" t="s">
        <v>36</v>
      </c>
      <c r="B28" s="12" t="n">
        <f aca="false">1/F24</f>
        <v>2.4082</v>
      </c>
      <c r="C28" s="12" t="n">
        <f aca="false">1/F25</f>
        <v>0.517277053589903</v>
      </c>
      <c r="D28" s="12" t="n">
        <f aca="false">1/F26</f>
        <v>1.9332</v>
      </c>
      <c r="E28" s="12" t="n">
        <f aca="false">1/F27</f>
        <v>2.2902</v>
      </c>
      <c r="F28" s="12" t="n">
        <f aca="false">1</f>
        <v>1</v>
      </c>
      <c r="G28" s="12" t="n">
        <f aca="false">IF(C20&gt;=0,IF(C20=0,1,C20),1/ABS(C20))</f>
        <v>0.677598590594932</v>
      </c>
    </row>
    <row r="29" customFormat="false" ht="15" hidden="false" customHeight="false" outlineLevel="0" collapsed="false">
      <c r="A29" s="11" t="s">
        <v>37</v>
      </c>
      <c r="B29" s="12" t="n">
        <f aca="false">1/G24</f>
        <v>2.2902</v>
      </c>
      <c r="C29" s="12" t="n">
        <f aca="false">1/G25</f>
        <v>0.35052052297662</v>
      </c>
      <c r="D29" s="12" t="n">
        <f aca="false">1/G26</f>
        <v>2.3714</v>
      </c>
      <c r="E29" s="12" t="n">
        <f aca="false">1/G27</f>
        <v>2.1411</v>
      </c>
      <c r="F29" s="12" t="n">
        <f aca="false">1/G28</f>
        <v>1.4758</v>
      </c>
      <c r="G29" s="12" t="n">
        <f aca="false">1</f>
        <v>1</v>
      </c>
    </row>
    <row r="31" customFormat="false" ht="15" hidden="false" customHeight="false" outlineLevel="0" collapsed="false">
      <c r="A31" s="13" t="s">
        <v>19</v>
      </c>
      <c r="B31" s="12" t="n">
        <f aca="false">SUM(B24:B29)</f>
        <v>16.7647</v>
      </c>
      <c r="C31" s="12" t="n">
        <f aca="false">SUM(C24:C29)</f>
        <v>2.88652388638858</v>
      </c>
      <c r="D31" s="12" t="n">
        <f aca="false">SUM(D24:D29)</f>
        <v>9.37395063434087</v>
      </c>
      <c r="E31" s="12" t="n">
        <f aca="false">SUM(E24:E29)</f>
        <v>9.87950125669071</v>
      </c>
      <c r="F31" s="12" t="n">
        <f aca="false">SUM(F24:F29)</f>
        <v>5.77816804452791</v>
      </c>
      <c r="G31" s="12" t="n">
        <f aca="false">SUM(G24:G29)</f>
        <v>5.85588315352475</v>
      </c>
    </row>
    <row r="33" customFormat="false" ht="15" hidden="false" customHeight="false" outlineLevel="0" collapsed="false">
      <c r="A33" s="14" t="s">
        <v>20</v>
      </c>
    </row>
    <row r="34" customFormat="false" ht="15" hidden="false" customHeight="false" outlineLevel="0" collapsed="false">
      <c r="A34" s="10" t="s">
        <v>21</v>
      </c>
      <c r="B34" s="10" t="s">
        <v>22</v>
      </c>
    </row>
    <row r="35" customFormat="false" ht="15" hidden="false" customHeight="false" outlineLevel="0" collapsed="false">
      <c r="A35" s="7" t="s">
        <v>32</v>
      </c>
      <c r="B35" s="15" t="n">
        <f aca="false">AVERAGE(B24/B31,C24/C31,D24/D31,E24/E31,F24/F31,G24/G31)</f>
        <v>0.0598158226879303</v>
      </c>
    </row>
    <row r="36" customFormat="false" ht="15" hidden="false" customHeight="false" outlineLevel="0" collapsed="false">
      <c r="A36" s="7" t="s">
        <v>33</v>
      </c>
      <c r="B36" s="15" t="n">
        <f aca="false">AVERAGE(B25/B31,C25/C31,D25/D31,E25/E31,F25/F31,G25/G31)</f>
        <v>0.335974889523999</v>
      </c>
    </row>
    <row r="37" customFormat="false" ht="15" hidden="false" customHeight="false" outlineLevel="0" collapsed="false">
      <c r="A37" s="7" t="s">
        <v>34</v>
      </c>
      <c r="B37" s="15" t="n">
        <f aca="false">AVERAGE(B26/B31,C26/C31,D26/D31,E26/E31,F26/F31,G26/G31)</f>
        <v>0.138034506659571</v>
      </c>
    </row>
    <row r="38" customFormat="false" ht="15" hidden="false" customHeight="false" outlineLevel="0" collapsed="false">
      <c r="A38" s="7" t="s">
        <v>35</v>
      </c>
      <c r="B38" s="15" t="n">
        <f aca="false">AVERAGE(B27/B31,C27/C31,D27/D31,E27/E31,F27/F31,G27/G31)</f>
        <v>0.0989093752454395</v>
      </c>
    </row>
    <row r="39" customFormat="false" ht="15" hidden="false" customHeight="false" outlineLevel="0" collapsed="false">
      <c r="A39" s="7" t="s">
        <v>36</v>
      </c>
      <c r="B39" s="15" t="n">
        <f aca="false">AVERAGE(B28/B31,C28/C31,D28/D31,E28/E31,F28/F31,G28/G31)</f>
        <v>0.17494555084604</v>
      </c>
    </row>
    <row r="40" customFormat="false" ht="15" hidden="false" customHeight="false" outlineLevel="0" collapsed="false">
      <c r="A40" s="7" t="s">
        <v>37</v>
      </c>
      <c r="B40" s="15" t="n">
        <f aca="false">AVERAGE(B29/B31,C29/C31,D29/D31,E29/E31,F29/F31,G29/G31)</f>
        <v>0.19231985503702</v>
      </c>
    </row>
    <row r="42" customFormat="false" ht="15" hidden="false" customHeight="false" outlineLevel="0" collapsed="false">
      <c r="A42" s="14" t="s">
        <v>23</v>
      </c>
    </row>
    <row r="43" customFormat="false" ht="15" hidden="false" customHeight="false" outlineLevel="0" collapsed="false">
      <c r="A43" s="0" t="s">
        <v>24</v>
      </c>
      <c r="B43" s="16" t="n">
        <f aca="false"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6.33316398562694</v>
      </c>
    </row>
    <row r="44" customFormat="false" ht="15" hidden="false" customHeight="false" outlineLevel="0" collapsed="false">
      <c r="A44" s="0" t="s">
        <v>25</v>
      </c>
      <c r="B44" s="16" t="n">
        <f aca="false">(B43-6)/5</f>
        <v>0.0666327971253873</v>
      </c>
    </row>
    <row r="45" customFormat="false" ht="15" hidden="false" customHeight="false" outlineLevel="0" collapsed="false">
      <c r="A45" s="0" t="s">
        <v>38</v>
      </c>
      <c r="B45" s="17" t="n">
        <v>1.24</v>
      </c>
    </row>
    <row r="46" customFormat="false" ht="15" hidden="false" customHeight="false" outlineLevel="0" collapsed="false">
      <c r="A46" s="18" t="s">
        <v>27</v>
      </c>
      <c r="B46" s="19" t="n">
        <f aca="false">IF(B45=0,0,B44/B45)</f>
        <v>0.053736126714022</v>
      </c>
    </row>
    <row r="47" customFormat="false" ht="15" hidden="false" customHeight="false" outlineLevel="0" collapsed="false">
      <c r="A47" s="18" t="s">
        <v>28</v>
      </c>
      <c r="B47" s="11" t="str">
        <f aca="false">IF(B46&lt;0.1,"✓ PASS","✗ FAIL — revise judgements")</f>
        <v>✓ PASS</v>
      </c>
    </row>
    <row r="50" customFormat="false" ht="19.5" hidden="false" customHeight="true" outlineLevel="0" collapsed="false">
      <c r="A50" s="4" t="s">
        <v>39</v>
      </c>
      <c r="B50" s="4"/>
      <c r="C50" s="4"/>
      <c r="D50" s="4"/>
      <c r="E50" s="4"/>
      <c r="F50" s="4"/>
    </row>
    <row r="51" customFormat="false" ht="27.75" hidden="false" customHeight="true" outlineLevel="0" collapsed="false">
      <c r="A51" s="5" t="s">
        <v>49</v>
      </c>
      <c r="B51" s="5"/>
      <c r="C51" s="5"/>
      <c r="D51" s="5"/>
      <c r="E51" s="5"/>
      <c r="F51" s="5"/>
    </row>
    <row r="52" customFormat="false" ht="30" hidden="false" customHeight="true" outlineLevel="0" collapsed="false">
      <c r="A52" s="6" t="s">
        <v>12</v>
      </c>
      <c r="B52" s="6" t="s">
        <v>13</v>
      </c>
      <c r="C52" s="6" t="s">
        <v>14</v>
      </c>
    </row>
    <row r="53" customFormat="false" ht="15" hidden="false" customHeight="false" outlineLevel="0" collapsed="false">
      <c r="A53" s="7" t="s">
        <v>32</v>
      </c>
      <c r="B53" s="7" t="s">
        <v>33</v>
      </c>
      <c r="C53" s="8" t="n">
        <v>-3.6801</v>
      </c>
    </row>
    <row r="54" customFormat="false" ht="15" hidden="false" customHeight="false" outlineLevel="0" collapsed="false">
      <c r="A54" s="7" t="s">
        <v>32</v>
      </c>
      <c r="B54" s="7" t="s">
        <v>34</v>
      </c>
      <c r="C54" s="8" t="n">
        <v>2.6673</v>
      </c>
    </row>
    <row r="55" customFormat="false" ht="15" hidden="false" customHeight="false" outlineLevel="0" collapsed="false">
      <c r="A55" s="7" t="s">
        <v>32</v>
      </c>
      <c r="B55" s="7" t="s">
        <v>35</v>
      </c>
      <c r="C55" s="8" t="n">
        <v>-1.3099</v>
      </c>
    </row>
    <row r="56" customFormat="false" ht="15" hidden="false" customHeight="false" outlineLevel="0" collapsed="false">
      <c r="A56" s="7" t="s">
        <v>32</v>
      </c>
      <c r="B56" s="7" t="s">
        <v>36</v>
      </c>
      <c r="C56" s="8" t="n">
        <v>-1.5518</v>
      </c>
    </row>
    <row r="57" customFormat="false" ht="15" hidden="false" customHeight="false" outlineLevel="0" collapsed="false">
      <c r="A57" s="7" t="s">
        <v>32</v>
      </c>
      <c r="B57" s="7" t="s">
        <v>37</v>
      </c>
      <c r="C57" s="8" t="n">
        <v>-3.1598</v>
      </c>
    </row>
    <row r="58" customFormat="false" ht="15" hidden="false" customHeight="false" outlineLevel="0" collapsed="false">
      <c r="A58" s="7" t="s">
        <v>33</v>
      </c>
      <c r="B58" s="7" t="s">
        <v>34</v>
      </c>
      <c r="C58" s="8" t="n">
        <v>4.1392</v>
      </c>
    </row>
    <row r="59" customFormat="false" ht="15" hidden="false" customHeight="false" outlineLevel="0" collapsed="false">
      <c r="A59" s="7" t="s">
        <v>33</v>
      </c>
      <c r="B59" s="7" t="s">
        <v>35</v>
      </c>
      <c r="C59" s="8" t="n">
        <v>2.7131</v>
      </c>
    </row>
    <row r="60" customFormat="false" ht="15" hidden="false" customHeight="false" outlineLevel="0" collapsed="false">
      <c r="A60" s="7" t="s">
        <v>33</v>
      </c>
      <c r="B60" s="7" t="s">
        <v>36</v>
      </c>
      <c r="C60" s="8" t="n">
        <v>2.3714</v>
      </c>
    </row>
    <row r="61" customFormat="false" ht="15" hidden="false" customHeight="false" outlineLevel="0" collapsed="false">
      <c r="A61" s="7" t="s">
        <v>33</v>
      </c>
      <c r="B61" s="7" t="s">
        <v>37</v>
      </c>
      <c r="C61" s="8" t="n">
        <v>-1.5518</v>
      </c>
    </row>
    <row r="62" customFormat="false" ht="15" hidden="false" customHeight="false" outlineLevel="0" collapsed="false">
      <c r="A62" s="7" t="s">
        <v>34</v>
      </c>
      <c r="B62" s="7" t="s">
        <v>35</v>
      </c>
      <c r="C62" s="8" t="n">
        <v>-1.8384</v>
      </c>
    </row>
    <row r="63" customFormat="false" ht="15" hidden="false" customHeight="false" outlineLevel="0" collapsed="false">
      <c r="A63" s="7" t="s">
        <v>34</v>
      </c>
      <c r="B63" s="7" t="s">
        <v>36</v>
      </c>
      <c r="C63" s="8" t="n">
        <v>-1.8103</v>
      </c>
    </row>
    <row r="64" customFormat="false" ht="15" hidden="false" customHeight="false" outlineLevel="0" collapsed="false">
      <c r="A64" s="7" t="s">
        <v>34</v>
      </c>
      <c r="B64" s="7" t="s">
        <v>37</v>
      </c>
      <c r="C64" s="8" t="n">
        <v>-2.4082</v>
      </c>
    </row>
    <row r="65" customFormat="false" ht="15" hidden="false" customHeight="false" outlineLevel="0" collapsed="false">
      <c r="A65" s="7" t="s">
        <v>35</v>
      </c>
      <c r="B65" s="7" t="s">
        <v>36</v>
      </c>
      <c r="C65" s="8" t="n">
        <v>-2.4082</v>
      </c>
    </row>
    <row r="66" customFormat="false" ht="15" hidden="false" customHeight="false" outlineLevel="0" collapsed="false">
      <c r="A66" s="7" t="s">
        <v>35</v>
      </c>
      <c r="B66" s="7" t="s">
        <v>37</v>
      </c>
      <c r="C66" s="8" t="n">
        <v>-2.6673</v>
      </c>
    </row>
    <row r="67" customFormat="false" ht="15" hidden="false" customHeight="false" outlineLevel="0" collapsed="false">
      <c r="A67" s="7" t="s">
        <v>36</v>
      </c>
      <c r="B67" s="7" t="s">
        <v>37</v>
      </c>
      <c r="C67" s="8" t="n">
        <v>-2.8529</v>
      </c>
    </row>
    <row r="69" customFormat="false" ht="15" hidden="false" customHeight="false" outlineLevel="0" collapsed="false">
      <c r="A69" s="9" t="s">
        <v>18</v>
      </c>
      <c r="B69" s="9"/>
      <c r="C69" s="9"/>
      <c r="D69" s="9"/>
      <c r="E69" s="9"/>
      <c r="F69" s="9"/>
    </row>
    <row r="70" customFormat="false" ht="15" hidden="false" customHeight="false" outlineLevel="0" collapsed="false">
      <c r="B70" s="10" t="s">
        <v>32</v>
      </c>
      <c r="C70" s="10" t="s">
        <v>33</v>
      </c>
      <c r="D70" s="10" t="s">
        <v>34</v>
      </c>
      <c r="E70" s="10" t="s">
        <v>35</v>
      </c>
      <c r="F70" s="10" t="s">
        <v>36</v>
      </c>
      <c r="G70" s="10" t="s">
        <v>37</v>
      </c>
    </row>
    <row r="71" customFormat="false" ht="15" hidden="false" customHeight="false" outlineLevel="0" collapsed="false">
      <c r="A71" s="11" t="s">
        <v>32</v>
      </c>
      <c r="B71" s="12" t="n">
        <f aca="false">1</f>
        <v>1</v>
      </c>
      <c r="C71" s="12" t="n">
        <f aca="false">IF(C53&gt;=0,IF(C53=0,1,C53),1/ABS(C53))</f>
        <v>0.271731746419934</v>
      </c>
      <c r="D71" s="12" t="n">
        <f aca="false">IF(C54&gt;=0,IF(C54=0,1,C54),1/ABS(C54))</f>
        <v>2.6673</v>
      </c>
      <c r="E71" s="12" t="n">
        <f aca="false">IF(C55&gt;=0,IF(C55=0,1,C55),1/ABS(C55))</f>
        <v>0.763417054737003</v>
      </c>
      <c r="F71" s="12" t="n">
        <f aca="false">IF(C56&gt;=0,IF(C56=0,1,C56),1/ABS(C56))</f>
        <v>0.644412939811831</v>
      </c>
      <c r="G71" s="12" t="n">
        <f aca="false">IF(C57&gt;=0,IF(C57=0,1,C57),1/ABS(C57))</f>
        <v>0.316475726311792</v>
      </c>
    </row>
    <row r="72" customFormat="false" ht="15" hidden="false" customHeight="false" outlineLevel="0" collapsed="false">
      <c r="A72" s="11" t="s">
        <v>33</v>
      </c>
      <c r="B72" s="12" t="n">
        <f aca="false">1/C71</f>
        <v>3.6801</v>
      </c>
      <c r="C72" s="12" t="n">
        <f aca="false">1</f>
        <v>1</v>
      </c>
      <c r="D72" s="12" t="n">
        <f aca="false">IF(C58&gt;=0,IF(C58=0,1,C58),1/ABS(C58))</f>
        <v>4.1392</v>
      </c>
      <c r="E72" s="12" t="n">
        <f aca="false">IF(C59&gt;=0,IF(C59=0,1,C59),1/ABS(C59))</f>
        <v>2.7131</v>
      </c>
      <c r="F72" s="12" t="n">
        <f aca="false">IF(C60&gt;=0,IF(C60=0,1,C60),1/ABS(C60))</f>
        <v>2.3714</v>
      </c>
      <c r="G72" s="12" t="n">
        <f aca="false">IF(C61&gt;=0,IF(C61=0,1,C61),1/ABS(C61))</f>
        <v>0.644412939811831</v>
      </c>
    </row>
    <row r="73" customFormat="false" ht="15" hidden="false" customHeight="false" outlineLevel="0" collapsed="false">
      <c r="A73" s="11" t="s">
        <v>34</v>
      </c>
      <c r="B73" s="12" t="n">
        <f aca="false">1/D71</f>
        <v>0.374910958647321</v>
      </c>
      <c r="C73" s="12" t="n">
        <f aca="false">1/D72</f>
        <v>0.241592578275995</v>
      </c>
      <c r="D73" s="12" t="n">
        <f aca="false">1</f>
        <v>1</v>
      </c>
      <c r="E73" s="12" t="n">
        <f aca="false">IF(C62&gt;=0,IF(C62=0,1,C62),1/ABS(C62))</f>
        <v>0.543951261966928</v>
      </c>
      <c r="F73" s="12" t="n">
        <f aca="false">IF(C63&gt;=0,IF(C63=0,1,C63),1/ABS(C63))</f>
        <v>0.552394630724189</v>
      </c>
      <c r="G73" s="12" t="n">
        <f aca="false">IF(C64&gt;=0,IF(C64=0,1,C64),1/ABS(C64))</f>
        <v>0.41524790299809</v>
      </c>
    </row>
    <row r="74" customFormat="false" ht="15" hidden="false" customHeight="false" outlineLevel="0" collapsed="false">
      <c r="A74" s="11" t="s">
        <v>35</v>
      </c>
      <c r="B74" s="12" t="n">
        <f aca="false">1/E71</f>
        <v>1.3099</v>
      </c>
      <c r="C74" s="12" t="n">
        <f aca="false">1/E72</f>
        <v>0.368582064796727</v>
      </c>
      <c r="D74" s="12" t="n">
        <f aca="false">1/E73</f>
        <v>1.8384</v>
      </c>
      <c r="E74" s="12" t="n">
        <f aca="false">1</f>
        <v>1</v>
      </c>
      <c r="F74" s="12" t="n">
        <f aca="false">IF(C65&gt;=0,IF(C65=0,1,C65),1/ABS(C65))</f>
        <v>0.41524790299809</v>
      </c>
      <c r="G74" s="12" t="n">
        <f aca="false">IF(C66&gt;=0,IF(C66=0,1,C66),1/ABS(C66))</f>
        <v>0.374910958647321</v>
      </c>
    </row>
    <row r="75" customFormat="false" ht="15" hidden="false" customHeight="false" outlineLevel="0" collapsed="false">
      <c r="A75" s="11" t="s">
        <v>36</v>
      </c>
      <c r="B75" s="12" t="n">
        <f aca="false">1/F71</f>
        <v>1.5518</v>
      </c>
      <c r="C75" s="12" t="n">
        <f aca="false">1/F72</f>
        <v>0.421691827612381</v>
      </c>
      <c r="D75" s="12" t="n">
        <f aca="false">1/F73</f>
        <v>1.8103</v>
      </c>
      <c r="E75" s="12" t="n">
        <f aca="false">1/F74</f>
        <v>2.4082</v>
      </c>
      <c r="F75" s="12" t="n">
        <f aca="false">1</f>
        <v>1</v>
      </c>
      <c r="G75" s="12" t="n">
        <f aca="false">IF(C67&gt;=0,IF(C67=0,1,C67),1/ABS(C67))</f>
        <v>0.35052052297662</v>
      </c>
    </row>
    <row r="76" customFormat="false" ht="15" hidden="false" customHeight="false" outlineLevel="0" collapsed="false">
      <c r="A76" s="11" t="s">
        <v>37</v>
      </c>
      <c r="B76" s="12" t="n">
        <f aca="false">1/G71</f>
        <v>3.1598</v>
      </c>
      <c r="C76" s="12" t="n">
        <f aca="false">1/G72</f>
        <v>1.5518</v>
      </c>
      <c r="D76" s="12" t="n">
        <f aca="false">1/G73</f>
        <v>2.4082</v>
      </c>
      <c r="E76" s="12" t="n">
        <f aca="false">1/G74</f>
        <v>2.6673</v>
      </c>
      <c r="F76" s="12" t="n">
        <f aca="false">1/G75</f>
        <v>2.8529</v>
      </c>
      <c r="G76" s="12" t="n">
        <f aca="false">1</f>
        <v>1</v>
      </c>
    </row>
    <row r="78" customFormat="false" ht="15" hidden="false" customHeight="false" outlineLevel="0" collapsed="false">
      <c r="A78" s="13" t="s">
        <v>19</v>
      </c>
      <c r="B78" s="12" t="n">
        <f aca="false">SUM(B71:B76)</f>
        <v>11.0765109586473</v>
      </c>
      <c r="C78" s="12" t="n">
        <f aca="false">SUM(C71:C76)</f>
        <v>3.85539821710504</v>
      </c>
      <c r="D78" s="12" t="n">
        <f aca="false">SUM(D71:D76)</f>
        <v>13.8634</v>
      </c>
      <c r="E78" s="12" t="n">
        <f aca="false">SUM(E71:E76)</f>
        <v>10.0959683167039</v>
      </c>
      <c r="F78" s="12" t="n">
        <f aca="false">SUM(F71:F76)</f>
        <v>7.83635547353411</v>
      </c>
      <c r="G78" s="12" t="n">
        <f aca="false">SUM(G71:G76)</f>
        <v>3.10156805074565</v>
      </c>
    </row>
    <row r="80" customFormat="false" ht="15" hidden="false" customHeight="false" outlineLevel="0" collapsed="false">
      <c r="A80" s="14" t="s">
        <v>20</v>
      </c>
    </row>
    <row r="81" customFormat="false" ht="15" hidden="false" customHeight="false" outlineLevel="0" collapsed="false">
      <c r="A81" s="10" t="s">
        <v>21</v>
      </c>
      <c r="B81" s="10" t="s">
        <v>22</v>
      </c>
    </row>
    <row r="82" customFormat="false" ht="15" hidden="false" customHeight="false" outlineLevel="0" collapsed="false">
      <c r="A82" s="7" t="s">
        <v>32</v>
      </c>
      <c r="B82" s="15" t="n">
        <f aca="false">AVERAGE(B71/B78,C71/C78,D71/D78,E71/E78,F71/F78,G71/G78)</f>
        <v>0.102174632555873</v>
      </c>
    </row>
    <row r="83" customFormat="false" ht="15" hidden="false" customHeight="false" outlineLevel="0" collapsed="false">
      <c r="A83" s="7" t="s">
        <v>33</v>
      </c>
      <c r="B83" s="15" t="n">
        <f aca="false">AVERAGE(B72/B78,C72/C78,D72/D78,E72/E78,F72/F78,G72/G78)</f>
        <v>0.278217795224105</v>
      </c>
    </row>
    <row r="84" customFormat="false" ht="15" hidden="false" customHeight="false" outlineLevel="0" collapsed="false">
      <c r="A84" s="7" t="s">
        <v>34</v>
      </c>
      <c r="B84" s="15" t="n">
        <f aca="false">AVERAGE(B73/B78,C73/C78,D73/D78,E73/E78,F73/F78,G73/G78)</f>
        <v>0.0711492952697381</v>
      </c>
    </row>
    <row r="85" customFormat="false" ht="15" hidden="false" customHeight="false" outlineLevel="0" collapsed="false">
      <c r="A85" s="7" t="s">
        <v>35</v>
      </c>
      <c r="B85" s="15" t="n">
        <f aca="false">AVERAGE(B74/B78,C74/C78,D74/D78,E74/E78,F74/F78,G74/G78)</f>
        <v>0.103231036771878</v>
      </c>
    </row>
    <row r="86" customFormat="false" ht="15" hidden="false" customHeight="false" outlineLevel="0" collapsed="false">
      <c r="A86" s="7" t="s">
        <v>36</v>
      </c>
      <c r="B86" s="15" t="n">
        <f aca="false">AVERAGE(B75/B78,C75/C78,D75/D78,E75/E78,F75/F78,G75/G78)</f>
        <v>0.143201944478791</v>
      </c>
    </row>
    <row r="87" customFormat="false" ht="15" hidden="false" customHeight="false" outlineLevel="0" collapsed="false">
      <c r="A87" s="7" t="s">
        <v>37</v>
      </c>
      <c r="B87" s="15" t="n">
        <f aca="false">AVERAGE(B76/B78,C76/C78,D76/D78,E76/E78,F76/F78,G76/G78)</f>
        <v>0.302025295699615</v>
      </c>
    </row>
    <row r="89" customFormat="false" ht="15" hidden="false" customHeight="false" outlineLevel="0" collapsed="false">
      <c r="A89" s="14" t="s">
        <v>23</v>
      </c>
    </row>
    <row r="90" customFormat="false" ht="15" hidden="false" customHeight="false" outlineLevel="0" collapsed="false">
      <c r="A90" s="0" t="s">
        <v>24</v>
      </c>
      <c r="B90" s="16" t="n">
        <f aca="false"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6.25868490515937</v>
      </c>
    </row>
    <row r="91" customFormat="false" ht="15" hidden="false" customHeight="false" outlineLevel="0" collapsed="false">
      <c r="A91" s="0" t="s">
        <v>25</v>
      </c>
      <c r="B91" s="16" t="n">
        <f aca="false">(B90-6)/5</f>
        <v>0.0517369810318746</v>
      </c>
    </row>
    <row r="92" customFormat="false" ht="15" hidden="false" customHeight="false" outlineLevel="0" collapsed="false">
      <c r="A92" s="0" t="s">
        <v>38</v>
      </c>
      <c r="B92" s="17" t="n">
        <v>1.24</v>
      </c>
    </row>
    <row r="93" customFormat="false" ht="15" hidden="false" customHeight="false" outlineLevel="0" collapsed="false">
      <c r="A93" s="18" t="s">
        <v>27</v>
      </c>
      <c r="B93" s="19" t="n">
        <f aca="false">IF(B92=0,0,B91/B92)</f>
        <v>0.0417233717998989</v>
      </c>
    </row>
    <row r="94" customFormat="false" ht="15" hidden="false" customHeight="false" outlineLevel="0" collapsed="false">
      <c r="A94" s="18" t="s">
        <v>28</v>
      </c>
      <c r="B94" s="11" t="str">
        <f aca="false">IF(B93&lt;0.1,"✓ PASS","✗ FAIL — revise judgements")</f>
        <v>✓ PASS</v>
      </c>
    </row>
    <row r="97" customFormat="false" ht="19.5" hidden="false" customHeight="true" outlineLevel="0" collapsed="false">
      <c r="A97" s="4" t="s">
        <v>41</v>
      </c>
      <c r="B97" s="4"/>
      <c r="C97" s="4"/>
      <c r="D97" s="4"/>
      <c r="E97" s="4"/>
      <c r="F97" s="4"/>
    </row>
    <row r="98" customFormat="false" ht="27.75" hidden="false" customHeight="true" outlineLevel="0" collapsed="false">
      <c r="A98" s="5" t="s">
        <v>50</v>
      </c>
      <c r="B98" s="5"/>
      <c r="C98" s="5"/>
      <c r="D98" s="5"/>
      <c r="E98" s="5"/>
      <c r="F98" s="5"/>
    </row>
    <row r="99" customFormat="false" ht="30" hidden="false" customHeight="true" outlineLevel="0" collapsed="false">
      <c r="A99" s="6" t="s">
        <v>12</v>
      </c>
      <c r="B99" s="6" t="s">
        <v>13</v>
      </c>
      <c r="C99" s="6" t="s">
        <v>14</v>
      </c>
    </row>
    <row r="100" customFormat="false" ht="15" hidden="false" customHeight="false" outlineLevel="0" collapsed="false">
      <c r="A100" s="7" t="s">
        <v>32</v>
      </c>
      <c r="B100" s="7" t="s">
        <v>33</v>
      </c>
      <c r="C100" s="8" t="n">
        <v>4.3597</v>
      </c>
    </row>
    <row r="101" customFormat="false" ht="15" hidden="false" customHeight="false" outlineLevel="0" collapsed="false">
      <c r="A101" s="7" t="s">
        <v>32</v>
      </c>
      <c r="B101" s="7" t="s">
        <v>34</v>
      </c>
      <c r="C101" s="8" t="n">
        <v>-1.3797</v>
      </c>
    </row>
    <row r="102" customFormat="false" ht="15" hidden="false" customHeight="false" outlineLevel="0" collapsed="false">
      <c r="A102" s="7" t="s">
        <v>32</v>
      </c>
      <c r="B102" s="7" t="s">
        <v>35</v>
      </c>
      <c r="C102" s="8" t="n">
        <v>1.8384</v>
      </c>
    </row>
    <row r="103" customFormat="false" ht="15" hidden="false" customHeight="false" outlineLevel="0" collapsed="false">
      <c r="A103" s="7" t="s">
        <v>32</v>
      </c>
      <c r="B103" s="7" t="s">
        <v>36</v>
      </c>
      <c r="C103" s="8" t="n">
        <v>2.4082</v>
      </c>
    </row>
    <row r="104" customFormat="false" ht="15" hidden="false" customHeight="false" outlineLevel="0" collapsed="false">
      <c r="A104" s="7" t="s">
        <v>32</v>
      </c>
      <c r="B104" s="7" t="s">
        <v>37</v>
      </c>
      <c r="C104" s="8" t="n">
        <v>3.6801</v>
      </c>
    </row>
    <row r="105" customFormat="false" ht="15" hidden="false" customHeight="false" outlineLevel="0" collapsed="false">
      <c r="A105" s="7" t="s">
        <v>33</v>
      </c>
      <c r="B105" s="7" t="s">
        <v>34</v>
      </c>
      <c r="C105" s="8" t="n">
        <v>-1.8384</v>
      </c>
    </row>
    <row r="106" customFormat="false" ht="15" hidden="false" customHeight="false" outlineLevel="0" collapsed="false">
      <c r="A106" s="7" t="s">
        <v>33</v>
      </c>
      <c r="B106" s="7" t="s">
        <v>35</v>
      </c>
      <c r="C106" s="8" t="n">
        <v>-1.1076</v>
      </c>
    </row>
    <row r="107" customFormat="false" ht="15" hidden="false" customHeight="false" outlineLevel="0" collapsed="false">
      <c r="A107" s="7" t="s">
        <v>33</v>
      </c>
      <c r="B107" s="7" t="s">
        <v>36</v>
      </c>
      <c r="C107" s="8" t="n">
        <v>2.3714</v>
      </c>
    </row>
    <row r="108" customFormat="false" ht="15" hidden="false" customHeight="false" outlineLevel="0" collapsed="false">
      <c r="A108" s="7" t="s">
        <v>33</v>
      </c>
      <c r="B108" s="7" t="s">
        <v>37</v>
      </c>
      <c r="C108" s="8" t="n">
        <v>1.3797</v>
      </c>
    </row>
    <row r="109" customFormat="false" ht="15" hidden="false" customHeight="false" outlineLevel="0" collapsed="false">
      <c r="A109" s="7" t="s">
        <v>34</v>
      </c>
      <c r="B109" s="7" t="s">
        <v>35</v>
      </c>
      <c r="C109" s="8" t="n">
        <v>3.4997</v>
      </c>
    </row>
    <row r="110" customFormat="false" ht="15" hidden="false" customHeight="false" outlineLevel="0" collapsed="false">
      <c r="A110" s="7" t="s">
        <v>34</v>
      </c>
      <c r="B110" s="7" t="s">
        <v>36</v>
      </c>
      <c r="C110" s="8" t="n">
        <v>3.9363</v>
      </c>
    </row>
    <row r="111" customFormat="false" ht="15" hidden="false" customHeight="false" outlineLevel="0" collapsed="false">
      <c r="A111" s="7" t="s">
        <v>34</v>
      </c>
      <c r="B111" s="7" t="s">
        <v>37</v>
      </c>
      <c r="C111" s="8" t="n">
        <v>3.9363</v>
      </c>
    </row>
    <row r="112" customFormat="false" ht="15" hidden="false" customHeight="false" outlineLevel="0" collapsed="false">
      <c r="A112" s="7" t="s">
        <v>35</v>
      </c>
      <c r="B112" s="7" t="s">
        <v>36</v>
      </c>
      <c r="C112" s="8" t="n">
        <v>2.7131</v>
      </c>
    </row>
    <row r="113" customFormat="false" ht="15" hidden="false" customHeight="false" outlineLevel="0" collapsed="false">
      <c r="A113" s="7" t="s">
        <v>35</v>
      </c>
      <c r="B113" s="7" t="s">
        <v>37</v>
      </c>
      <c r="C113" s="8" t="n">
        <v>3.9363</v>
      </c>
    </row>
    <row r="114" customFormat="false" ht="15" hidden="false" customHeight="false" outlineLevel="0" collapsed="false">
      <c r="A114" s="7" t="s">
        <v>36</v>
      </c>
      <c r="B114" s="7" t="s">
        <v>37</v>
      </c>
      <c r="C114" s="8" t="n">
        <v>3.1598</v>
      </c>
    </row>
    <row r="116" customFormat="false" ht="15" hidden="false" customHeight="false" outlineLevel="0" collapsed="false">
      <c r="A116" s="9" t="s">
        <v>18</v>
      </c>
      <c r="B116" s="9"/>
      <c r="C116" s="9"/>
      <c r="D116" s="9"/>
      <c r="E116" s="9"/>
      <c r="F116" s="9"/>
    </row>
    <row r="117" customFormat="false" ht="15" hidden="false" customHeight="false" outlineLevel="0" collapsed="false">
      <c r="B117" s="10" t="s">
        <v>32</v>
      </c>
      <c r="C117" s="10" t="s">
        <v>33</v>
      </c>
      <c r="D117" s="10" t="s">
        <v>34</v>
      </c>
      <c r="E117" s="10" t="s">
        <v>35</v>
      </c>
      <c r="F117" s="10" t="s">
        <v>36</v>
      </c>
      <c r="G117" s="10" t="s">
        <v>37</v>
      </c>
    </row>
    <row r="118" customFormat="false" ht="15" hidden="false" customHeight="false" outlineLevel="0" collapsed="false">
      <c r="A118" s="11" t="s">
        <v>32</v>
      </c>
      <c r="B118" s="12" t="n">
        <f aca="false">1</f>
        <v>1</v>
      </c>
      <c r="C118" s="12" t="n">
        <f aca="false">IF(C100&gt;=0,IF(C100=0,1,C100),1/ABS(C100))</f>
        <v>4.3597</v>
      </c>
      <c r="D118" s="12" t="n">
        <f aca="false">IF(C101&gt;=0,IF(C101=0,1,C101),1/ABS(C101))</f>
        <v>0.724795245343191</v>
      </c>
      <c r="E118" s="12" t="n">
        <f aca="false">IF(C102&gt;=0,IF(C102=0,1,C102),1/ABS(C102))</f>
        <v>1.8384</v>
      </c>
      <c r="F118" s="12" t="n">
        <f aca="false">IF(C103&gt;=0,IF(C103=0,1,C103),1/ABS(C103))</f>
        <v>2.4082</v>
      </c>
      <c r="G118" s="12" t="n">
        <f aca="false">IF(C104&gt;=0,IF(C104=0,1,C104),1/ABS(C104))</f>
        <v>3.6801</v>
      </c>
    </row>
    <row r="119" customFormat="false" ht="15" hidden="false" customHeight="false" outlineLevel="0" collapsed="false">
      <c r="A119" s="11" t="s">
        <v>33</v>
      </c>
      <c r="B119" s="12" t="n">
        <f aca="false">1/C118</f>
        <v>0.229373580750969</v>
      </c>
      <c r="C119" s="12" t="n">
        <f aca="false">1</f>
        <v>1</v>
      </c>
      <c r="D119" s="12" t="n">
        <f aca="false">IF(C105&gt;=0,IF(C105=0,1,C105),1/ABS(C105))</f>
        <v>0.543951261966928</v>
      </c>
      <c r="E119" s="12" t="n">
        <f aca="false">IF(C106&gt;=0,IF(C106=0,1,C106),1/ABS(C106))</f>
        <v>0.902853015529072</v>
      </c>
      <c r="F119" s="12" t="n">
        <f aca="false">IF(C107&gt;=0,IF(C107=0,1,C107),1/ABS(C107))</f>
        <v>2.3714</v>
      </c>
      <c r="G119" s="12" t="n">
        <f aca="false">IF(C108&gt;=0,IF(C108=0,1,C108),1/ABS(C108))</f>
        <v>1.3797</v>
      </c>
    </row>
    <row r="120" customFormat="false" ht="15" hidden="false" customHeight="false" outlineLevel="0" collapsed="false">
      <c r="A120" s="11" t="s">
        <v>34</v>
      </c>
      <c r="B120" s="12" t="n">
        <f aca="false">1/D118</f>
        <v>1.3797</v>
      </c>
      <c r="C120" s="12" t="n">
        <f aca="false">1/D119</f>
        <v>1.8384</v>
      </c>
      <c r="D120" s="12" t="n">
        <f aca="false">1</f>
        <v>1</v>
      </c>
      <c r="E120" s="12" t="n">
        <f aca="false">IF(C109&gt;=0,IF(C109=0,1,C109),1/ABS(C109))</f>
        <v>3.4997</v>
      </c>
      <c r="F120" s="12" t="n">
        <f aca="false">IF(C110&gt;=0,IF(C110=0,1,C110),1/ABS(C110))</f>
        <v>3.9363</v>
      </c>
      <c r="G120" s="12" t="n">
        <f aca="false">IF(C111&gt;=0,IF(C111=0,1,C111),1/ABS(C111))</f>
        <v>3.9363</v>
      </c>
    </row>
    <row r="121" customFormat="false" ht="15" hidden="false" customHeight="false" outlineLevel="0" collapsed="false">
      <c r="A121" s="11" t="s">
        <v>35</v>
      </c>
      <c r="B121" s="12" t="n">
        <f aca="false">1/E118</f>
        <v>0.543951261966928</v>
      </c>
      <c r="C121" s="12" t="n">
        <f aca="false">1/E119</f>
        <v>1.1076</v>
      </c>
      <c r="D121" s="12" t="n">
        <f aca="false">1/E120</f>
        <v>0.285738777609509</v>
      </c>
      <c r="E121" s="12" t="n">
        <f aca="false">1</f>
        <v>1</v>
      </c>
      <c r="F121" s="12" t="n">
        <f aca="false">IF(C112&gt;=0,IF(C112=0,1,C112),1/ABS(C112))</f>
        <v>2.7131</v>
      </c>
      <c r="G121" s="12" t="n">
        <f aca="false">IF(C113&gt;=0,IF(C113=0,1,C113),1/ABS(C113))</f>
        <v>3.9363</v>
      </c>
    </row>
    <row r="122" customFormat="false" ht="15" hidden="false" customHeight="false" outlineLevel="0" collapsed="false">
      <c r="A122" s="11" t="s">
        <v>36</v>
      </c>
      <c r="B122" s="12" t="n">
        <f aca="false">1/F118</f>
        <v>0.41524790299809</v>
      </c>
      <c r="C122" s="12" t="n">
        <f aca="false">1/F119</f>
        <v>0.421691827612381</v>
      </c>
      <c r="D122" s="12" t="n">
        <f aca="false">1/F120</f>
        <v>0.254045677412799</v>
      </c>
      <c r="E122" s="12" t="n">
        <f aca="false">1/F121</f>
        <v>0.368582064796727</v>
      </c>
      <c r="F122" s="12" t="n">
        <f aca="false">1</f>
        <v>1</v>
      </c>
      <c r="G122" s="12" t="n">
        <f aca="false">IF(C114&gt;=0,IF(C114=0,1,C114),1/ABS(C114))</f>
        <v>3.1598</v>
      </c>
    </row>
    <row r="123" customFormat="false" ht="15" hidden="false" customHeight="false" outlineLevel="0" collapsed="false">
      <c r="A123" s="11" t="s">
        <v>37</v>
      </c>
      <c r="B123" s="12" t="n">
        <f aca="false">1/G118</f>
        <v>0.271731746419934</v>
      </c>
      <c r="C123" s="12" t="n">
        <f aca="false">1/G119</f>
        <v>0.724795245343191</v>
      </c>
      <c r="D123" s="12" t="n">
        <f aca="false">1/G120</f>
        <v>0.254045677412799</v>
      </c>
      <c r="E123" s="12" t="n">
        <f aca="false">1/G121</f>
        <v>0.254045677412799</v>
      </c>
      <c r="F123" s="12" t="n">
        <f aca="false">1/G122</f>
        <v>0.316475726311792</v>
      </c>
      <c r="G123" s="12" t="n">
        <f aca="false">1</f>
        <v>1</v>
      </c>
    </row>
    <row r="125" customFormat="false" ht="15" hidden="false" customHeight="false" outlineLevel="0" collapsed="false">
      <c r="A125" s="13" t="s">
        <v>19</v>
      </c>
      <c r="B125" s="12" t="n">
        <f aca="false">SUM(B118:B123)</f>
        <v>3.84000449213592</v>
      </c>
      <c r="C125" s="12" t="n">
        <f aca="false">SUM(C118:C123)</f>
        <v>9.45218707295557</v>
      </c>
      <c r="D125" s="12" t="n">
        <f aca="false">SUM(D118:D123)</f>
        <v>3.06257663974523</v>
      </c>
      <c r="E125" s="12" t="n">
        <f aca="false">SUM(E118:E123)</f>
        <v>7.8635807577386</v>
      </c>
      <c r="F125" s="12" t="n">
        <f aca="false">SUM(F118:F123)</f>
        <v>12.7454757263118</v>
      </c>
      <c r="G125" s="12" t="n">
        <f aca="false">SUM(G118:G123)</f>
        <v>17.0922</v>
      </c>
    </row>
    <row r="127" customFormat="false" ht="15" hidden="false" customHeight="false" outlineLevel="0" collapsed="false">
      <c r="A127" s="14" t="s">
        <v>20</v>
      </c>
    </row>
    <row r="128" customFormat="false" ht="15" hidden="false" customHeight="false" outlineLevel="0" collapsed="false">
      <c r="A128" s="10" t="s">
        <v>21</v>
      </c>
      <c r="B128" s="10" t="s">
        <v>22</v>
      </c>
    </row>
    <row r="129" customFormat="false" ht="15" hidden="false" customHeight="false" outlineLevel="0" collapsed="false">
      <c r="A129" s="7" t="s">
        <v>32</v>
      </c>
      <c r="B129" s="15" t="n">
        <f aca="false">AVERAGE(B118/B125,C118/C125,D118/D125,E118/E125,F118/F125,G118/G125)</f>
        <v>0.266059380393465</v>
      </c>
    </row>
    <row r="130" customFormat="false" ht="15" hidden="false" customHeight="false" outlineLevel="0" collapsed="false">
      <c r="A130" s="7" t="s">
        <v>33</v>
      </c>
      <c r="B130" s="15" t="n">
        <f aca="false">AVERAGE(B119/B125,C119/C125,D119/D125,E119/E125,F119/F125,G119/G125)</f>
        <v>0.120789041268888</v>
      </c>
    </row>
    <row r="131" customFormat="false" ht="15" hidden="false" customHeight="false" outlineLevel="0" collapsed="false">
      <c r="A131" s="7" t="s">
        <v>34</v>
      </c>
      <c r="B131" s="15" t="n">
        <f aca="false">AVERAGE(B120/B125,C120/C125,D120/D125,E120/E125,F120/F125,G120/G125)</f>
        <v>0.310750383243592</v>
      </c>
    </row>
    <row r="132" customFormat="false" ht="15" hidden="false" customHeight="false" outlineLevel="0" collapsed="false">
      <c r="A132" s="7" t="s">
        <v>35</v>
      </c>
      <c r="B132" s="15" t="n">
        <f aca="false">AVERAGE(B121/B125,C121/C125,D121/D125,E121/E125,F121/F125,G121/G125)</f>
        <v>0.153744568909664</v>
      </c>
    </row>
    <row r="133" customFormat="false" ht="15" hidden="false" customHeight="false" outlineLevel="0" collapsed="false">
      <c r="A133" s="7" t="s">
        <v>36</v>
      </c>
      <c r="B133" s="15" t="n">
        <f aca="false">AVERAGE(B122/B125,C122/C125,D122/D125,E122/E125,F122/F125,G122/G125)</f>
        <v>0.0909835526060431</v>
      </c>
    </row>
    <row r="134" customFormat="false" ht="15" hidden="false" customHeight="false" outlineLevel="0" collapsed="false">
      <c r="A134" s="7" t="s">
        <v>37</v>
      </c>
      <c r="B134" s="15" t="n">
        <f aca="false">AVERAGE(B123/B125,C123/C125,D123/D125,E123/E125,F123/F125,G123/G125)</f>
        <v>0.0576730735783479</v>
      </c>
    </row>
    <row r="136" customFormat="false" ht="15" hidden="false" customHeight="false" outlineLevel="0" collapsed="false">
      <c r="A136" s="14" t="s">
        <v>23</v>
      </c>
    </row>
    <row r="137" customFormat="false" ht="15" hidden="false" customHeight="false" outlineLevel="0" collapsed="false">
      <c r="A137" s="0" t="s">
        <v>24</v>
      </c>
      <c r="B137" s="16" t="n">
        <f aca="false"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6.42905222955527</v>
      </c>
    </row>
    <row r="138" customFormat="false" ht="15" hidden="false" customHeight="false" outlineLevel="0" collapsed="false">
      <c r="A138" s="0" t="s">
        <v>25</v>
      </c>
      <c r="B138" s="16" t="n">
        <f aca="false">(B137-6)/5</f>
        <v>0.085810445911053</v>
      </c>
    </row>
    <row r="139" customFormat="false" ht="15" hidden="false" customHeight="false" outlineLevel="0" collapsed="false">
      <c r="A139" s="0" t="s">
        <v>38</v>
      </c>
      <c r="B139" s="17" t="n">
        <v>1.24</v>
      </c>
    </row>
    <row r="140" customFormat="false" ht="15" hidden="false" customHeight="false" outlineLevel="0" collapsed="false">
      <c r="A140" s="18" t="s">
        <v>27</v>
      </c>
      <c r="B140" s="19" t="n">
        <f aca="false">IF(B139=0,0,B138/B139)</f>
        <v>0.0692019725089137</v>
      </c>
    </row>
    <row r="141" customFormat="false" ht="15" hidden="false" customHeight="false" outlineLevel="0" collapsed="false">
      <c r="A141" s="18" t="s">
        <v>28</v>
      </c>
      <c r="B141" s="11" t="str">
        <f aca="false">IF(B140&lt;0.1,"✓ PASS","✗ FAIL — revise judgements")</f>
        <v>✓ PASS</v>
      </c>
    </row>
  </sheetData>
  <mergeCells count="10">
    <mergeCell ref="A1:F1"/>
    <mergeCell ref="A3:F3"/>
    <mergeCell ref="A4:F4"/>
    <mergeCell ref="A22:F22"/>
    <mergeCell ref="A50:F50"/>
    <mergeCell ref="A51:F51"/>
    <mergeCell ref="A69:F69"/>
    <mergeCell ref="A97:F97"/>
    <mergeCell ref="A98:F98"/>
    <mergeCell ref="A116:F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</row>
    <row r="3" customFormat="false" ht="19.5" hidden="false" customHeight="true" outlineLevel="0" collapsed="false">
      <c r="A3" s="20" t="s">
        <v>52</v>
      </c>
      <c r="B3" s="20"/>
      <c r="C3" s="20"/>
      <c r="D3" s="20"/>
      <c r="E3" s="20"/>
      <c r="F3" s="20"/>
      <c r="G3" s="20"/>
      <c r="H3" s="20"/>
      <c r="I3" s="20"/>
    </row>
    <row r="5" customFormat="false" ht="19.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</row>
    <row r="6" customFormat="false" ht="30" hidden="false" customHeight="true" outlineLevel="0" collapsed="false">
      <c r="A6" s="21" t="s">
        <v>54</v>
      </c>
      <c r="B6" s="21" t="s">
        <v>55</v>
      </c>
      <c r="C6" s="21" t="s">
        <v>56</v>
      </c>
      <c r="D6" s="21" t="s">
        <v>57</v>
      </c>
      <c r="E6" s="21" t="s">
        <v>58</v>
      </c>
      <c r="F6" s="21" t="s">
        <v>59</v>
      </c>
      <c r="G6" s="21" t="s">
        <v>60</v>
      </c>
    </row>
    <row r="7" customFormat="false" ht="15" hidden="false" customHeight="false" outlineLevel="0" collapsed="false">
      <c r="A7" s="22" t="n">
        <f aca="false">RANK(G7,$G$7:$G$12)</f>
        <v>2</v>
      </c>
      <c r="B7" s="7" t="s">
        <v>32</v>
      </c>
      <c r="C7" s="23" t="s">
        <v>61</v>
      </c>
      <c r="D7" s="24" t="n">
        <f aca="false">Privacy!B35</f>
        <v>0.144023153718685</v>
      </c>
      <c r="E7" s="24" t="n">
        <f aca="false">Privacy!B82</f>
        <v>0.236002421341431</v>
      </c>
      <c r="F7" s="24" t="n">
        <f aca="false">Privacy!B129</f>
        <v>0.19464311860226</v>
      </c>
      <c r="G7" s="25" t="n">
        <f aca="false">'Criteria Weights'!B20*D7+'Criteria Weights'!B21*E7+'Criteria Weights'!B22*F7</f>
        <v>0.189468040357857</v>
      </c>
    </row>
    <row r="8" customFormat="false" ht="15" hidden="false" customHeight="false" outlineLevel="0" collapsed="false">
      <c r="A8" s="22" t="n">
        <f aca="false">RANK(G8,$G$7:$G$12)</f>
        <v>3</v>
      </c>
      <c r="B8" s="7" t="s">
        <v>33</v>
      </c>
      <c r="C8" s="23" t="s">
        <v>62</v>
      </c>
      <c r="D8" s="24" t="n">
        <f aca="false">Privacy!B36</f>
        <v>0.192104442745121</v>
      </c>
      <c r="E8" s="24" t="n">
        <f aca="false">Privacy!B83</f>
        <v>0.185494137265866</v>
      </c>
      <c r="F8" s="24" t="n">
        <f aca="false">Privacy!B130</f>
        <v>0.144203503359334</v>
      </c>
      <c r="G8" s="25" t="n">
        <f aca="false">'Criteria Weights'!B20*D8+'Criteria Weights'!B21*E8+'Criteria Weights'!B22*F8</f>
        <v>0.177592637262268</v>
      </c>
    </row>
    <row r="9" customFormat="false" ht="15" hidden="false" customHeight="false" outlineLevel="0" collapsed="false">
      <c r="A9" s="22" t="n">
        <f aca="false">RANK(G9,$G$7:$G$12)</f>
        <v>1</v>
      </c>
      <c r="B9" s="7" t="s">
        <v>34</v>
      </c>
      <c r="C9" s="23" t="s">
        <v>63</v>
      </c>
      <c r="D9" s="24" t="n">
        <f aca="false">Privacy!B37</f>
        <v>0.150877649882809</v>
      </c>
      <c r="E9" s="24" t="n">
        <f aca="false">Privacy!B84</f>
        <v>0.160574715758477</v>
      </c>
      <c r="F9" s="24" t="n">
        <f aca="false">Privacy!B131</f>
        <v>0.297194068248254</v>
      </c>
      <c r="G9" s="25" t="n">
        <f aca="false">'Criteria Weights'!B20*D9+'Criteria Weights'!B21*E9+'Criteria Weights'!B22*F9</f>
        <v>0.191487144348401</v>
      </c>
    </row>
    <row r="10" customFormat="false" ht="15" hidden="false" customHeight="false" outlineLevel="0" collapsed="false">
      <c r="A10" s="22" t="n">
        <f aca="false">RANK(G10,$G$7:$G$12)</f>
        <v>4</v>
      </c>
      <c r="B10" s="7" t="s">
        <v>35</v>
      </c>
      <c r="C10" s="23" t="s">
        <v>64</v>
      </c>
      <c r="D10" s="24" t="n">
        <f aca="false">Privacy!B38</f>
        <v>0.186352083975023</v>
      </c>
      <c r="E10" s="24" t="n">
        <f aca="false">Privacy!B85</f>
        <v>0.134633545112831</v>
      </c>
      <c r="F10" s="24" t="n">
        <f aca="false">Privacy!B132</f>
        <v>0.155352154019496</v>
      </c>
      <c r="G10" s="25" t="n">
        <f aca="false">'Criteria Weights'!B20*D10+'Criteria Weights'!B21*E10+'Criteria Weights'!B22*F10</f>
        <v>0.16015452345856</v>
      </c>
    </row>
    <row r="11" customFormat="false" ht="15" hidden="false" customHeight="false" outlineLevel="0" collapsed="false">
      <c r="A11" s="22" t="n">
        <f aca="false">RANK(G11,$G$7:$G$12)</f>
        <v>6</v>
      </c>
      <c r="B11" s="7" t="s">
        <v>36</v>
      </c>
      <c r="C11" s="23" t="s">
        <v>65</v>
      </c>
      <c r="D11" s="24" t="n">
        <f aca="false">Privacy!B39</f>
        <v>0.152036089172922</v>
      </c>
      <c r="E11" s="24" t="n">
        <f aca="false">Privacy!B86</f>
        <v>0.121288529922307</v>
      </c>
      <c r="F11" s="24" t="n">
        <f aca="false">Privacy!B133</f>
        <v>0.120156724904476</v>
      </c>
      <c r="G11" s="25" t="n">
        <f aca="false">'Criteria Weights'!B20*D11+'Criteria Weights'!B21*E11+'Criteria Weights'!B22*F11</f>
        <v>0.133044138447423</v>
      </c>
    </row>
    <row r="12" customFormat="false" ht="15" hidden="false" customHeight="false" outlineLevel="0" collapsed="false">
      <c r="A12" s="22" t="n">
        <f aca="false">RANK(G12,$G$7:$G$12)</f>
        <v>5</v>
      </c>
      <c r="B12" s="7" t="s">
        <v>37</v>
      </c>
      <c r="C12" s="23" t="s">
        <v>66</v>
      </c>
      <c r="D12" s="24" t="n">
        <f aca="false">Privacy!B40</f>
        <v>0.174606580505441</v>
      </c>
      <c r="E12" s="24" t="n">
        <f aca="false">Privacy!B87</f>
        <v>0.162006650599088</v>
      </c>
      <c r="F12" s="24" t="n">
        <f aca="false">Privacy!B134</f>
        <v>0.0884504308661809</v>
      </c>
      <c r="G12" s="25" t="n">
        <f aca="false">'Criteria Weights'!B20*D12+'Criteria Weights'!B21*E12+'Criteria Weights'!B22*F12</f>
        <v>0.148253516125492</v>
      </c>
    </row>
    <row r="15" customFormat="false" ht="19.5" hidden="false" customHeight="true" outlineLevel="0" collapsed="false">
      <c r="A15" s="4" t="s">
        <v>67</v>
      </c>
      <c r="B15" s="4"/>
      <c r="C15" s="4"/>
      <c r="D15" s="4"/>
      <c r="E15" s="4"/>
      <c r="F15" s="4"/>
      <c r="G15" s="4"/>
      <c r="H15" s="4"/>
      <c r="I15" s="4"/>
    </row>
    <row r="16" customFormat="false" ht="30" hidden="false" customHeight="true" outlineLevel="0" collapsed="false">
      <c r="A16" s="21" t="s">
        <v>54</v>
      </c>
      <c r="B16" s="21" t="s">
        <v>55</v>
      </c>
      <c r="C16" s="21" t="s">
        <v>56</v>
      </c>
      <c r="D16" s="21" t="s">
        <v>57</v>
      </c>
      <c r="E16" s="21" t="s">
        <v>58</v>
      </c>
      <c r="F16" s="21" t="s">
        <v>59</v>
      </c>
      <c r="G16" s="21" t="s">
        <v>60</v>
      </c>
    </row>
    <row r="17" customFormat="false" ht="15" hidden="false" customHeight="false" outlineLevel="0" collapsed="false">
      <c r="A17" s="22" t="n">
        <f aca="false">RANK(G17,$G$17:$G$22)</f>
        <v>5</v>
      </c>
      <c r="B17" s="7" t="s">
        <v>32</v>
      </c>
      <c r="C17" s="23" t="s">
        <v>61</v>
      </c>
      <c r="D17" s="24" t="n">
        <f aca="false">Luxury!B35</f>
        <v>0.0494500925352247</v>
      </c>
      <c r="E17" s="24" t="n">
        <f aca="false">Luxury!B82</f>
        <v>0.0686304233394042</v>
      </c>
      <c r="F17" s="24" t="n">
        <f aca="false">Luxury!B129</f>
        <v>0.226333670438452</v>
      </c>
      <c r="G17" s="25" t="n">
        <f aca="false">'Criteria Weights'!B20*D17+'Criteria Weights'!B21*E17+'Criteria Weights'!B22*F17</f>
        <v>0.101185195476597</v>
      </c>
    </row>
    <row r="18" customFormat="false" ht="15" hidden="false" customHeight="false" outlineLevel="0" collapsed="false">
      <c r="A18" s="22" t="n">
        <f aca="false">RANK(G18,$G$17:$G$22)</f>
        <v>6</v>
      </c>
      <c r="B18" s="7" t="s">
        <v>33</v>
      </c>
      <c r="C18" s="23" t="s">
        <v>62</v>
      </c>
      <c r="D18" s="24" t="n">
        <f aca="false">Luxury!B36</f>
        <v>0.0692882308567684</v>
      </c>
      <c r="E18" s="24" t="n">
        <f aca="false">Luxury!B83</f>
        <v>0.0668502474916777</v>
      </c>
      <c r="F18" s="24" t="n">
        <f aca="false">Luxury!B130</f>
        <v>0.164225301845899</v>
      </c>
      <c r="G18" s="25" t="n">
        <f aca="false">'Criteria Weights'!B20*D18+'Criteria Weights'!B21*E18+'Criteria Weights'!B22*F18</f>
        <v>0.0925450082471723</v>
      </c>
    </row>
    <row r="19" customFormat="false" ht="15" hidden="false" customHeight="false" outlineLevel="0" collapsed="false">
      <c r="A19" s="22" t="n">
        <f aca="false">RANK(G19,$G$17:$G$22)</f>
        <v>3</v>
      </c>
      <c r="B19" s="7" t="s">
        <v>34</v>
      </c>
      <c r="C19" s="23" t="s">
        <v>63</v>
      </c>
      <c r="D19" s="24" t="n">
        <f aca="false">Luxury!B37</f>
        <v>0.127117552032665</v>
      </c>
      <c r="E19" s="24" t="n">
        <f aca="false">Luxury!B84</f>
        <v>0.182308716159693</v>
      </c>
      <c r="F19" s="24" t="n">
        <f aca="false">Luxury!B131</f>
        <v>0.155804244904485</v>
      </c>
      <c r="G19" s="25" t="n">
        <f aca="false">'Criteria Weights'!B20*D19+'Criteria Weights'!B21*E19+'Criteria Weights'!B22*F19</f>
        <v>0.153957583860664</v>
      </c>
    </row>
    <row r="20" customFormat="false" ht="15" hidden="false" customHeight="false" outlineLevel="0" collapsed="false">
      <c r="A20" s="22" t="n">
        <f aca="false">RANK(G20,$G$17:$G$22)</f>
        <v>4</v>
      </c>
      <c r="B20" s="7" t="s">
        <v>35</v>
      </c>
      <c r="C20" s="23" t="s">
        <v>64</v>
      </c>
      <c r="D20" s="24" t="n">
        <f aca="false">Luxury!B38</f>
        <v>0.141715481679258</v>
      </c>
      <c r="E20" s="24" t="n">
        <f aca="false">Luxury!B85</f>
        <v>0.118359874647899</v>
      </c>
      <c r="F20" s="24" t="n">
        <f aca="false">Luxury!B132</f>
        <v>0.186890953765719</v>
      </c>
      <c r="G20" s="25" t="n">
        <f aca="false">'Criteria Weights'!B20*D20+'Criteria Weights'!B21*E20+'Criteria Weights'!B22*F20</f>
        <v>0.144919300741914</v>
      </c>
    </row>
    <row r="21" customFormat="false" ht="15" hidden="false" customHeight="false" outlineLevel="0" collapsed="false">
      <c r="A21" s="22" t="n">
        <f aca="false">RANK(G21,$G$17:$G$22)</f>
        <v>1</v>
      </c>
      <c r="B21" s="7" t="s">
        <v>36</v>
      </c>
      <c r="C21" s="23" t="s">
        <v>65</v>
      </c>
      <c r="D21" s="24" t="n">
        <f aca="false">Luxury!B39</f>
        <v>0.318561405811062</v>
      </c>
      <c r="E21" s="24" t="n">
        <f aca="false">Luxury!B86</f>
        <v>0.286340412842043</v>
      </c>
      <c r="F21" s="24" t="n">
        <f aca="false">Luxury!B133</f>
        <v>0.139705260156143</v>
      </c>
      <c r="G21" s="25" t="n">
        <f aca="false">'Criteria Weights'!B20*D21+'Criteria Weights'!B21*E21+'Criteria Weights'!B22*F21</f>
        <v>0.261705435251186</v>
      </c>
    </row>
    <row r="22" customFormat="false" ht="15" hidden="false" customHeight="false" outlineLevel="0" collapsed="false">
      <c r="A22" s="22" t="n">
        <f aca="false">RANK(G22,$G$17:$G$22)</f>
        <v>2</v>
      </c>
      <c r="B22" s="7" t="s">
        <v>37</v>
      </c>
      <c r="C22" s="23" t="s">
        <v>66</v>
      </c>
      <c r="D22" s="24" t="n">
        <f aca="false">Luxury!B40</f>
        <v>0.293867237085022</v>
      </c>
      <c r="E22" s="24" t="n">
        <f aca="false">Luxury!B87</f>
        <v>0.277510325519283</v>
      </c>
      <c r="F22" s="24" t="n">
        <f aca="false">Luxury!B134</f>
        <v>0.127040568889303</v>
      </c>
      <c r="G22" s="25" t="n">
        <f aca="false">'Criteria Weights'!B20*D22+'Criteria Weights'!B21*E22+'Criteria Weights'!B22*F22</f>
        <v>0.245687476422466</v>
      </c>
    </row>
    <row r="25" customFormat="false" ht="19.5" hidden="false" customHeight="true" outlineLevel="0" collapsed="false">
      <c r="A25" s="4" t="s">
        <v>68</v>
      </c>
      <c r="B25" s="4"/>
      <c r="C25" s="4"/>
      <c r="D25" s="4"/>
      <c r="E25" s="4"/>
      <c r="F25" s="4"/>
      <c r="G25" s="4"/>
      <c r="H25" s="4"/>
      <c r="I25" s="4"/>
    </row>
    <row r="26" customFormat="false" ht="30" hidden="false" customHeight="true" outlineLevel="0" collapsed="false">
      <c r="A26" s="21" t="s">
        <v>54</v>
      </c>
      <c r="B26" s="21" t="s">
        <v>55</v>
      </c>
      <c r="C26" s="21" t="s">
        <v>56</v>
      </c>
      <c r="D26" s="21" t="s">
        <v>57</v>
      </c>
      <c r="E26" s="21" t="s">
        <v>58</v>
      </c>
      <c r="F26" s="21" t="s">
        <v>59</v>
      </c>
      <c r="G26" s="21" t="s">
        <v>60</v>
      </c>
    </row>
    <row r="27" customFormat="false" ht="15" hidden="false" customHeight="false" outlineLevel="0" collapsed="false">
      <c r="A27" s="22" t="n">
        <f aca="false">RANK(G27,$G$27:$G$32)</f>
        <v>5</v>
      </c>
      <c r="B27" s="7" t="s">
        <v>32</v>
      </c>
      <c r="C27" s="23" t="s">
        <v>61</v>
      </c>
      <c r="D27" s="24" t="n">
        <f aca="false">Apparel!B35</f>
        <v>0.0598158226879303</v>
      </c>
      <c r="E27" s="24" t="n">
        <f aca="false">Apparel!B82</f>
        <v>0.102174632555873</v>
      </c>
      <c r="F27" s="24" t="n">
        <f aca="false">Apparel!B129</f>
        <v>0.266059380393465</v>
      </c>
      <c r="G27" s="25" t="n">
        <f aca="false">'Criteria Weights'!B20*D27+'Criteria Weights'!B21*E27+'Criteria Weights'!B22*F27</f>
        <v>0.127221408051587</v>
      </c>
    </row>
    <row r="28" customFormat="false" ht="15" hidden="false" customHeight="false" outlineLevel="0" collapsed="false">
      <c r="A28" s="22" t="n">
        <f aca="false">RANK(G28,$G$27:$G$32)</f>
        <v>1</v>
      </c>
      <c r="B28" s="7" t="s">
        <v>33</v>
      </c>
      <c r="C28" s="23" t="s">
        <v>62</v>
      </c>
      <c r="D28" s="24" t="n">
        <f aca="false">Apparel!B36</f>
        <v>0.335974889523999</v>
      </c>
      <c r="E28" s="24" t="n">
        <f aca="false">Apparel!B83</f>
        <v>0.278217795224105</v>
      </c>
      <c r="F28" s="24" t="n">
        <f aca="false">Apparel!B130</f>
        <v>0.120789041268888</v>
      </c>
      <c r="G28" s="25" t="n">
        <f aca="false">'Criteria Weights'!B20*D28+'Criteria Weights'!B21*E28+'Criteria Weights'!B22*F28</f>
        <v>0.260842458961716</v>
      </c>
    </row>
    <row r="29" customFormat="false" ht="15" hidden="false" customHeight="false" outlineLevel="0" collapsed="false">
      <c r="A29" s="22" t="n">
        <f aca="false">RANK(G29,$G$27:$G$32)</f>
        <v>3</v>
      </c>
      <c r="B29" s="7" t="s">
        <v>34</v>
      </c>
      <c r="C29" s="23" t="s">
        <v>63</v>
      </c>
      <c r="D29" s="24" t="n">
        <f aca="false">Apparel!B37</f>
        <v>0.138034506659571</v>
      </c>
      <c r="E29" s="24" t="n">
        <f aca="false">Apparel!B84</f>
        <v>0.0711492952697381</v>
      </c>
      <c r="F29" s="24" t="n">
        <f aca="false">Apparel!B131</f>
        <v>0.310750383243592</v>
      </c>
      <c r="G29" s="25" t="n">
        <f aca="false">'Criteria Weights'!B20*D29+'Criteria Weights'!B21*E29+'Criteria Weights'!B22*F29</f>
        <v>0.158221700721611</v>
      </c>
    </row>
    <row r="30" customFormat="false" ht="15" hidden="false" customHeight="false" outlineLevel="0" collapsed="false">
      <c r="A30" s="22" t="n">
        <f aca="false">RANK(G30,$G$27:$G$32)</f>
        <v>6</v>
      </c>
      <c r="B30" s="7" t="s">
        <v>35</v>
      </c>
      <c r="C30" s="23" t="s">
        <v>64</v>
      </c>
      <c r="D30" s="24" t="n">
        <f aca="false">Apparel!B38</f>
        <v>0.0989093752454395</v>
      </c>
      <c r="E30" s="24" t="n">
        <f aca="false">Apparel!B85</f>
        <v>0.103231036771878</v>
      </c>
      <c r="F30" s="24" t="n">
        <f aca="false">Apparel!B132</f>
        <v>0.153744568909664</v>
      </c>
      <c r="G30" s="25" t="n">
        <f aca="false">'Criteria Weights'!B20*D30+'Criteria Weights'!B21*E30+'Criteria Weights'!B22*F30</f>
        <v>0.114372190234114</v>
      </c>
    </row>
    <row r="31" customFormat="false" ht="15" hidden="false" customHeight="false" outlineLevel="0" collapsed="false">
      <c r="A31" s="22" t="n">
        <f aca="false">RANK(G31,$G$27:$G$32)</f>
        <v>4</v>
      </c>
      <c r="B31" s="7" t="s">
        <v>36</v>
      </c>
      <c r="C31" s="23" t="s">
        <v>65</v>
      </c>
      <c r="D31" s="24" t="n">
        <f aca="false">Apparel!B39</f>
        <v>0.17494555084604</v>
      </c>
      <c r="E31" s="24" t="n">
        <f aca="false">Apparel!B86</f>
        <v>0.143201944478791</v>
      </c>
      <c r="F31" s="24" t="n">
        <f aca="false">Apparel!B133</f>
        <v>0.0909835526060431</v>
      </c>
      <c r="G31" s="25" t="n">
        <f aca="false">'Criteria Weights'!B20*D31+'Criteria Weights'!B21*E31+'Criteria Weights'!B22*F31</f>
        <v>0.142368232574056</v>
      </c>
    </row>
    <row r="32" customFormat="false" ht="15" hidden="false" customHeight="false" outlineLevel="0" collapsed="false">
      <c r="A32" s="22" t="n">
        <f aca="false">RANK(G32,$G$27:$G$32)</f>
        <v>2</v>
      </c>
      <c r="B32" s="7" t="s">
        <v>37</v>
      </c>
      <c r="C32" s="23" t="s">
        <v>66</v>
      </c>
      <c r="D32" s="24" t="n">
        <f aca="false">Apparel!B40</f>
        <v>0.19231985503702</v>
      </c>
      <c r="E32" s="24" t="n">
        <f aca="false">Apparel!B87</f>
        <v>0.302025295699615</v>
      </c>
      <c r="F32" s="24" t="n">
        <f aca="false">Apparel!B134</f>
        <v>0.0576730735783479</v>
      </c>
      <c r="G32" s="25" t="n">
        <f aca="false">'Criteria Weights'!B20*D32+'Criteria Weights'!B21*E32+'Criteria Weights'!B22*F32</f>
        <v>0.196974009456917</v>
      </c>
    </row>
  </sheetData>
  <mergeCells count="5">
    <mergeCell ref="A1:I1"/>
    <mergeCell ref="A3:I3"/>
    <mergeCell ref="A5:I5"/>
    <mergeCell ref="A15:I15"/>
    <mergeCell ref="A25:I25"/>
  </mergeCells>
  <conditionalFormatting sqref="A4:A100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2026-06-19T09:04:44Z</dcterms:created>
  <dc:creator>openpyxl</dc:creator>
  <dc:description/>
  <dc:language>en-US</dc:language>
  <cp:lastModifiedBy>Sherry Nasser</cp:lastModifiedBy>
  <dcterms:modified xsi:type="dcterms:W3CDTF">2026-07-21T11:09:29Z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